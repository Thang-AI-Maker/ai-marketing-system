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ƯỚNG DẪN" sheetId="1" state="visible" r:id="rId1"/>
    <sheet xmlns:r="http://schemas.openxmlformats.org/officeDocument/2006/relationships" name="2. CẤU HÌNH" sheetId="2" state="visible" r:id="rId2"/>
    <sheet xmlns:r="http://schemas.openxmlformats.org/officeDocument/2006/relationships" name="3. LƯƠNG VÀ QUỸ" sheetId="3" state="visible" r:id="rId3"/>
    <sheet xmlns:r="http://schemas.openxmlformats.org/officeDocument/2006/relationships" name="4. CHỈ SỐ CÁ NHÂN" sheetId="4" state="visible" r:id="rId4"/>
    <sheet xmlns:r="http://schemas.openxmlformats.org/officeDocument/2006/relationships" name="5. TÍNH THƯỞNG" sheetId="5" state="visible" r:id="rId5"/>
    <sheet xmlns:r="http://schemas.openxmlformats.org/officeDocument/2006/relationships" name="6. CHẾ TÀI"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7">
    <font>
      <name val="Calibri"/>
      <family val="2"/>
      <color theme="1"/>
      <sz val="11"/>
      <scheme val="minor"/>
    </font>
    <font>
      <name val="Arial"/>
      <b val="1"/>
      <color rgb="001F3864"/>
      <sz val="15"/>
    </font>
    <font>
      <name val="Arial"/>
      <i val="1"/>
      <color rgb="00595959"/>
      <sz val="9.5"/>
    </font>
    <font>
      <name val="Arial"/>
      <b val="1"/>
      <color rgb="00FFFFFF"/>
      <sz val="11"/>
    </font>
    <font>
      <name val="Arial"/>
      <b val="1"/>
      <color rgb="002E5C8A"/>
      <sz val="10"/>
    </font>
    <font>
      <name val="Arial"/>
      <sz val="10"/>
    </font>
    <font>
      <name val="Arial"/>
      <b val="1"/>
      <color rgb="00FFFFFF"/>
      <sz val="10"/>
    </font>
    <font>
      <name val="Arial"/>
      <b val="1"/>
      <sz val="10"/>
    </font>
    <font>
      <name val="Arial"/>
      <color rgb="000000FF"/>
      <sz val="10"/>
    </font>
    <font>
      <name val="Arial"/>
      <color rgb="00808080"/>
      <sz val="9.5"/>
    </font>
    <font>
      <name val="Arial"/>
      <color rgb="00595959"/>
      <sz val="9.5"/>
    </font>
    <font>
      <name val="Arial"/>
      <b val="1"/>
      <color rgb="001F3864"/>
      <sz val="11"/>
    </font>
    <font>
      <name val="Arial"/>
      <b val="1"/>
      <color rgb="001F3864"/>
      <sz val="10"/>
    </font>
    <font>
      <name val="Arial"/>
      <i val="1"/>
      <color rgb="00C00000"/>
      <sz val="9.5"/>
    </font>
    <font>
      <name val="Arial"/>
      <color rgb="00C00000"/>
      <sz val="10"/>
    </font>
    <font>
      <name val="Arial"/>
      <b val="1"/>
      <color rgb="002F7A3D"/>
      <sz val="11"/>
    </font>
    <font>
      <name val="Arial"/>
      <color rgb="00000000"/>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EDF3FA"/>
      </patternFill>
    </fill>
    <fill>
      <patternFill patternType="solid">
        <fgColor rgb="00D9E2F3"/>
      </patternFill>
    </fill>
    <fill>
      <patternFill patternType="solid">
        <fgColor rgb="00EDF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0" borderId="1" pivotButton="0" quotePrefix="0" xfId="0"/>
    <xf numFmtId="0" fontId="8" fillId="3" borderId="1" pivotButton="0" quotePrefix="0" xfId="0"/>
    <xf numFmtId="0" fontId="9" fillId="0" borderId="1" pivotButton="0" quotePrefix="0" xfId="0"/>
    <xf numFmtId="0" fontId="10" fillId="0" borderId="1" pivotButton="0" quotePrefix="0" xfId="0"/>
    <xf numFmtId="3" fontId="8" fillId="3" borderId="1" pivotButton="0" quotePrefix="0" xfId="0"/>
    <xf numFmtId="164" fontId="8" fillId="3" borderId="1" pivotButton="0" quotePrefix="0" xfId="0"/>
    <xf numFmtId="2" fontId="8" fillId="3" borderId="1" pivotButton="0" quotePrefix="0" xfId="0"/>
    <xf numFmtId="0" fontId="11" fillId="0" borderId="0" pivotButton="0" quotePrefix="0" xfId="0"/>
    <xf numFmtId="0" fontId="7" fillId="0" borderId="0" pivotButton="0" quotePrefix="0" xfId="0"/>
    <xf numFmtId="164" fontId="5" fillId="4" borderId="1" pivotButton="0" quotePrefix="0" xfId="0"/>
    <xf numFmtId="165" fontId="11" fillId="4" borderId="1" pivotButton="0" quotePrefix="0" xfId="0"/>
    <xf numFmtId="0" fontId="5" fillId="0" borderId="1" pivotButton="0" quotePrefix="0" xfId="0"/>
    <xf numFmtId="9" fontId="8" fillId="3" borderId="1" pivotButton="0" quotePrefix="0" xfId="0"/>
    <xf numFmtId="3" fontId="5" fillId="4" borderId="1" pivotButton="0" quotePrefix="0" xfId="0"/>
    <xf numFmtId="3" fontId="12" fillId="4" borderId="1" pivotButton="0" quotePrefix="0" xfId="0"/>
    <xf numFmtId="0" fontId="12" fillId="0" borderId="0" pivotButton="0" quotePrefix="0" xfId="0"/>
    <xf numFmtId="3" fontId="12" fillId="0" borderId="1" pivotButton="0" quotePrefix="0" xfId="0"/>
    <xf numFmtId="0" fontId="13" fillId="0" borderId="0" pivotButton="0" quotePrefix="0" xfId="0"/>
    <xf numFmtId="0" fontId="4" fillId="0" borderId="1" pivotButton="0" quotePrefix="0" xfId="0"/>
    <xf numFmtId="0" fontId="5" fillId="0" borderId="1" applyAlignment="1" pivotButton="0" quotePrefix="0" xfId="0">
      <alignment vertical="top" wrapText="1"/>
    </xf>
    <xf numFmtId="9" fontId="5" fillId="0" borderId="1" pivotButton="0" quotePrefix="0" xfId="0"/>
    <xf numFmtId="165" fontId="5" fillId="4" borderId="1" pivotButton="0" quotePrefix="0" xfId="0"/>
    <xf numFmtId="165" fontId="7" fillId="4" borderId="1" pivotButton="0" quotePrefix="0" xfId="0"/>
    <xf numFmtId="0" fontId="0" fillId="5" borderId="0" pivotButton="0" quotePrefix="0" xfId="0"/>
    <xf numFmtId="165" fontId="12" fillId="4" borderId="1" pivotButton="0" quotePrefix="0" xfId="0"/>
    <xf numFmtId="3" fontId="14" fillId="4" borderId="1" pivotButton="0" quotePrefix="0" xfId="0"/>
    <xf numFmtId="3" fontId="15" fillId="6" borderId="1"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4" customWidth="1" min="1" max="1"/>
    <col width="30" customWidth="1" min="2" max="2"/>
    <col width="70" customWidth="1" min="3" max="3"/>
    <col width="20" customWidth="1" min="4" max="4"/>
  </cols>
  <sheetData>
    <row r="1" ht="22" customHeight="1">
      <c r="A1" s="1" t="inlineStr">
        <is>
          <t>BẢNG TÍNH KPI VÀ THƯỞNG — ROCKET AI</t>
        </is>
      </c>
    </row>
    <row r="2">
      <c r="A2" s="2" t="inlineStr">
        <is>
          <t>Chỉ điền vào ô NỀN VÀNG. Ô nền xanh nhạt tự tính, đừng gõ đè lên.</t>
        </is>
      </c>
    </row>
    <row r="5" ht="19" customHeight="1">
      <c r="B5" s="3" t="inlineStr">
        <is>
          <t>QUY ƯỚC MÀU</t>
        </is>
      </c>
    </row>
    <row r="6" ht="15" customHeight="1">
      <c r="B6" s="4" t="inlineStr">
        <is>
          <t>Ô nền vàng</t>
        </is>
      </c>
      <c r="C6" s="5" t="inlineStr">
        <is>
          <t>Ô anh cần điền. Số liệu mục tiêu, số thực tế, mức lương.</t>
        </is>
      </c>
    </row>
    <row r="7" ht="15" customHeight="1">
      <c r="B7" s="4" t="inlineStr">
        <is>
          <t>Ô nền xanh nhạt</t>
        </is>
      </c>
      <c r="C7" s="5" t="inlineStr">
        <is>
          <t>Ô tự tính bằng công thức. Không gõ đè, sẽ mất công thức.</t>
        </is>
      </c>
    </row>
    <row r="8" ht="15" customHeight="1">
      <c r="B8" s="4" t="inlineStr">
        <is>
          <t>Chữ màu xanh</t>
        </is>
      </c>
      <c r="C8" s="5" t="inlineStr">
        <is>
          <t>Giá trị nhập tay. Chữ đen là kết quả tính ra.</t>
        </is>
      </c>
    </row>
    <row r="10" ht="19" customHeight="1">
      <c r="B10" s="3" t="inlineStr">
        <is>
          <t>THỨ TỰ DÙNG</t>
        </is>
      </c>
    </row>
    <row r="11" ht="26" customHeight="1">
      <c r="B11" s="4" t="inlineStr">
        <is>
          <t>Bước 1</t>
        </is>
      </c>
      <c r="C11" s="5" t="inlineStr">
        <is>
          <t>Mở sheet '2. CẤU HÌNH' — điền mục tiêu doanh thu chuỗi, ngân sách quảng cáo, mục tiêu đăng ký.</t>
        </is>
      </c>
    </row>
    <row r="12" ht="26" customHeight="1">
      <c r="B12" s="4" t="inlineStr">
        <is>
          <t>Bước 2</t>
        </is>
      </c>
      <c r="C12" s="5" t="inlineStr">
        <is>
          <t>Mở sheet '3. LƯƠNG VÀ QUỸ' — điền tổng thu nhập mục tiêu và tỷ lệ biến động của từng người.</t>
        </is>
      </c>
    </row>
    <row r="13" ht="15" customHeight="1">
      <c r="B13" s="4" t="inlineStr">
        <is>
          <t>Bước 3</t>
        </is>
      </c>
      <c r="C13" s="5" t="inlineStr">
        <is>
          <t>Sau mỗi chuỗi, mở '4. CHỈ SỐ CÁ NHÂN' — điền số thực tế đạt được của từng chỉ số.</t>
        </is>
      </c>
    </row>
    <row r="14" ht="15" customHeight="1">
      <c r="B14" s="4" t="inlineStr">
        <is>
          <t>Bước 4</t>
        </is>
      </c>
      <c r="C14" s="5" t="inlineStr">
        <is>
          <t>Mở '5. TÍNH THƯỞNG' — bảng tự ra số tiền thưởng từng người.</t>
        </is>
      </c>
    </row>
    <row r="15" ht="15" customHeight="1">
      <c r="B15" s="4" t="inlineStr">
        <is>
          <t>Bước 5</t>
        </is>
      </c>
      <c r="C15" s="5" t="inlineStr">
        <is>
          <t>Nếu có việc CHẶN trễ, ghi vào '6. CHẾ TÀI' — khoản trừ tự trừ vào bảng 5.</t>
        </is>
      </c>
    </row>
    <row r="17" ht="19" customHeight="1">
      <c r="B17" s="3" t="inlineStr">
        <is>
          <t>CÔNG THỨC GỐC</t>
        </is>
      </c>
    </row>
    <row r="18" ht="15" customHeight="1">
      <c r="B18" s="4" t="inlineStr">
        <is>
          <t>Thưởng biến động</t>
        </is>
      </c>
      <c r="C18" s="5" t="inlineStr">
        <is>
          <t>Quỹ biến động × ( 0,7 × Hệ số chung  +  0,3 × Hệ số cá nhân )  −  Khoản trừ CHẶN</t>
        </is>
      </c>
    </row>
    <row r="19" ht="15" customHeight="1">
      <c r="B19" s="4" t="inlineStr">
        <is>
          <t>Hệ số chung</t>
        </is>
      </c>
      <c r="C19" s="5" t="inlineStr">
        <is>
          <t>Tính trên doanh thu thực thu của chuỗi, theo ba bậc.</t>
        </is>
      </c>
    </row>
    <row r="20" ht="15" customHeight="1">
      <c r="B20" s="4" t="inlineStr">
        <is>
          <t>Hệ số cá nhân</t>
        </is>
      </c>
      <c r="C20" s="5" t="inlineStr">
        <is>
          <t>Tổng có trọng số của 4 chỉ số vị trí, mỗi chỉ số tính theo ba bậc.</t>
        </is>
      </c>
    </row>
    <row r="22" ht="19" customHeight="1">
      <c r="B22" s="3" t="inlineStr">
        <is>
          <t>BA BẬC — áp dụng cho mọi chỉ số</t>
        </is>
      </c>
    </row>
    <row r="23" ht="15" customHeight="1">
      <c r="B23" s="4" t="inlineStr">
        <is>
          <t>Dưới ngưỡng</t>
        </is>
      </c>
      <c r="C23" s="5" t="inlineStr">
        <is>
          <t>Đạt dưới 80% mục tiêu  →  hệ số = 0</t>
        </is>
      </c>
    </row>
    <row r="24" ht="15" customHeight="1">
      <c r="B24" s="4" t="inlineStr">
        <is>
          <t>Đạt</t>
        </is>
      </c>
      <c r="C24" s="5" t="inlineStr">
        <is>
          <t>Đạt 80% đến 100%  →  hệ số = đúng tỷ lệ đạt được (0,80 đến 1,00)</t>
        </is>
      </c>
    </row>
    <row r="25" ht="15" customHeight="1">
      <c r="B25" s="4" t="inlineStr">
        <is>
          <t>Vượt</t>
        </is>
      </c>
      <c r="C25" s="5" t="inlineStr">
        <is>
          <t>Đạt trên 100%  →  hệ số = 1 + (phần vượt ÷ 10%) × 0,15, tối đa 1,50</t>
        </is>
      </c>
    </row>
    <row r="27" ht="19" customHeight="1">
      <c r="B27" s="3" t="inlineStr">
        <is>
          <t>NGUYÊN TẮC QUAN TRỌNG NHẤT</t>
        </is>
      </c>
    </row>
    <row r="28" ht="26" customHeight="1">
      <c r="B28" s="4" t="inlineStr">
        <is>
          <t>Chia trách nhiệm</t>
        </is>
      </c>
      <c r="C28" s="5" t="inlineStr">
        <is>
          <t>ĐỘI MARKETING chịu tới CỬA PHÒNG HỌC: số đăng ký đúng tệp, CPL, show rate, giữ chân.</t>
        </is>
      </c>
    </row>
    <row r="29" ht="15" customHeight="1">
      <c r="B29" s="4" t="inlineStr"/>
      <c r="C29" s="5" t="inlineStr">
        <is>
          <t>THẮNG chịu từ CỬA PHÒNG HỌC trở đi: tỷ lệ chốt, giá trị đơn, tỷ lệ lên gói cao.</t>
        </is>
      </c>
    </row>
    <row r="30" ht="26" customHeight="1">
      <c r="B30" s="4" t="inlineStr">
        <is>
          <t>Khi hai bên lệch</t>
        </is>
      </c>
      <c r="C30" s="5" t="inlineStr">
        <is>
          <t>Đội đạt mà doanh thu hụt → hệ số chung của đội tính ở mức đạt tối thiểu, không cắt về 0.</t>
        </is>
      </c>
    </row>
    <row r="31" ht="26" customHeight="1">
      <c r="B31" s="4" t="inlineStr"/>
      <c r="C31" s="5" t="inlineStr">
        <is>
          <t>Đội hụt mà doanh thu đạt → tính theo doanh thu thật, nhưng phần 30% cá nhân bị cắt.</t>
        </is>
      </c>
    </row>
    <row r="33" ht="19" customHeight="1">
      <c r="B33" s="3" t="inlineStr">
        <is>
          <t>LƯU Ý PHÁP LÝ</t>
        </is>
      </c>
    </row>
    <row r="34" ht="39" customHeight="1">
      <c r="B34" s="4" t="inlineStr">
        <is>
          <t>Không trừ lương cứng</t>
        </is>
      </c>
      <c r="C34" s="5" t="inlineStr">
        <is>
          <t>Toàn bộ chế tài chỉ tác động vào phần thưởng biến động. Trừ lương cứng ở Việt Nam có ràng buộc pháp lý — nên nhờ người có chuyên môn rà lại quy chế trước khi áp dụng.</t>
        </is>
      </c>
    </row>
  </sheetData>
  <mergeCells count="6">
    <mergeCell ref="B10:D10"/>
    <mergeCell ref="B33:D33"/>
    <mergeCell ref="B5:D5"/>
    <mergeCell ref="B22:D22"/>
    <mergeCell ref="B17:D17"/>
    <mergeCell ref="B27:D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38" customWidth="1" min="1" max="1"/>
    <col width="18" customWidth="1" min="2" max="2"/>
    <col width="14" customWidth="1" min="3" max="3"/>
    <col width="56" customWidth="1" min="4" max="4"/>
  </cols>
  <sheetData>
    <row r="1" ht="22" customHeight="1">
      <c r="A1" s="1" t="inlineStr">
        <is>
          <t>CẤU HÌNH MỤC TIÊU CHUỖI</t>
        </is>
      </c>
    </row>
    <row r="2">
      <c r="A2" s="2" t="inlineStr">
        <is>
          <t>Điền ô nền vàng. Mọi sheet khác lấy số từ đây.</t>
        </is>
      </c>
    </row>
    <row r="4" ht="30" customHeight="1">
      <c r="A4" s="6" t="inlineStr">
        <is>
          <t>THÔNG SỐ</t>
        </is>
      </c>
      <c r="B4" s="6" t="inlineStr">
        <is>
          <t>GIÁ TRỊ</t>
        </is>
      </c>
      <c r="C4" s="6" t="inlineStr">
        <is>
          <t>ĐƠN VỊ</t>
        </is>
      </c>
      <c r="D4" s="6" t="inlineStr">
        <is>
          <t>GHI CHÚ</t>
        </is>
      </c>
    </row>
    <row r="5">
      <c r="A5" s="7" t="inlineStr">
        <is>
          <t>Tên chuỗi</t>
        </is>
      </c>
      <c r="B5" s="8" t="inlineStr">
        <is>
          <t>AFW chuỗi 1</t>
        </is>
      </c>
      <c r="C5" s="9" t="inlineStr"/>
      <c r="D5" s="10" t="inlineStr">
        <is>
          <t>Đổi tên cho mỗi chuỗi</t>
        </is>
      </c>
    </row>
    <row r="6">
      <c r="A6" s="7" t="inlineStr">
        <is>
          <t>Mục tiêu doanh thu chuỗi</t>
        </is>
      </c>
      <c r="B6" s="11" t="n">
        <v>500000000</v>
      </c>
      <c r="C6" s="9" t="inlineStr">
        <is>
          <t>đồng</t>
        </is>
      </c>
      <c r="D6" s="10" t="inlineStr">
        <is>
          <t>Khoảng đã chốt: 300–700 triệu</t>
        </is>
      </c>
    </row>
    <row r="7">
      <c r="A7" s="7" t="inlineStr">
        <is>
          <t>Doanh thu thực thu</t>
        </is>
      </c>
      <c r="B7" s="11" t="n">
        <v>0</v>
      </c>
      <c r="C7" s="9" t="inlineStr">
        <is>
          <t>đồng</t>
        </is>
      </c>
      <c r="D7" s="10" t="inlineStr">
        <is>
          <t>Điền sau khi chuỗi kết thúc</t>
        </is>
      </c>
    </row>
    <row r="8">
      <c r="A8" s="7" t="inlineStr">
        <is>
          <t>Ngân sách quảng cáo duyệt</t>
        </is>
      </c>
      <c r="B8" s="11" t="n">
        <v>70000000</v>
      </c>
      <c r="C8" s="9" t="inlineStr">
        <is>
          <t>đồng</t>
        </is>
      </c>
      <c r="D8" s="10" t="inlineStr">
        <is>
          <t>CẦN CHỐT CON SỐ TUYỆT ĐỐI</t>
        </is>
      </c>
    </row>
    <row r="9">
      <c r="A9" s="7" t="inlineStr">
        <is>
          <t>Chi quảng cáo thực tế</t>
        </is>
      </c>
      <c r="B9" s="11" t="n">
        <v>0</v>
      </c>
      <c r="C9" s="9" t="inlineStr">
        <is>
          <t>đồng</t>
        </is>
      </c>
      <c r="D9" s="10" t="inlineStr">
        <is>
          <t>Lấy từ tab ADS_DAILY</t>
        </is>
      </c>
    </row>
    <row r="10">
      <c r="A10" s="7" t="inlineStr">
        <is>
          <t>Mục tiêu số đăng ký</t>
        </is>
      </c>
      <c r="B10" s="8" t="n">
        <v>2000</v>
      </c>
      <c r="C10" s="9" t="inlineStr">
        <is>
          <t>người</t>
        </is>
      </c>
      <c r="D10" s="10" t="inlineStr"/>
    </row>
    <row r="11">
      <c r="A11" s="7" t="inlineStr">
        <is>
          <t>Số đăng ký thực tế</t>
        </is>
      </c>
      <c r="B11" s="8" t="n">
        <v>0</v>
      </c>
      <c r="C11" s="9" t="inlineStr">
        <is>
          <t>người</t>
        </is>
      </c>
      <c r="D11" s="10" t="inlineStr"/>
    </row>
    <row r="12">
      <c r="A12" s="7" t="inlineStr">
        <is>
          <t>Mục tiêu CPL tệp chủ doanh nghiệp</t>
        </is>
      </c>
      <c r="B12" s="11" t="n">
        <v>60000</v>
      </c>
      <c r="C12" s="9" t="inlineStr">
        <is>
          <t>đồng</t>
        </is>
      </c>
      <c r="D12" s="10" t="inlineStr">
        <is>
          <t>Tệp này đắt hơn tệp kiếm tiền</t>
        </is>
      </c>
    </row>
    <row r="13">
      <c r="A13" s="7" t="inlineStr">
        <is>
          <t>Mục tiêu CPL tệp kiếm tiền</t>
        </is>
      </c>
      <c r="B13" s="11" t="n">
        <v>30000</v>
      </c>
      <c r="C13" s="9" t="inlineStr">
        <is>
          <t>đồng</t>
        </is>
      </c>
      <c r="D13" s="10" t="inlineStr">
        <is>
          <t>Đo riêng, KHÔNG gộp chung</t>
        </is>
      </c>
    </row>
    <row r="14">
      <c r="A14" s="7" t="inlineStr">
        <is>
          <t>Mục tiêu show rate</t>
        </is>
      </c>
      <c r="B14" s="12" t="n">
        <v>0.35</v>
      </c>
      <c r="C14" s="9" t="inlineStr">
        <is>
          <t>tỷ lệ</t>
        </is>
      </c>
      <c r="D14" s="10" t="inlineStr">
        <is>
          <t>Số người dự chia số đăng ký</t>
        </is>
      </c>
    </row>
    <row r="15">
      <c r="A15" s="7" t="inlineStr">
        <is>
          <t>Mục tiêu tỷ lệ đăng ký là chủ doanh nghiệp</t>
        </is>
      </c>
      <c r="B15" s="12" t="n">
        <v>0.4</v>
      </c>
      <c r="C15" s="9" t="inlineStr">
        <is>
          <t>tỷ lệ</t>
        </is>
      </c>
      <c r="D15" s="10" t="inlineStr">
        <is>
          <t>Lấy từ poll buổi 1 hoặc form landing</t>
        </is>
      </c>
    </row>
    <row r="16">
      <c r="A16" s="7" t="inlineStr">
        <is>
          <t>Ngưỡng dưới (không thưởng)</t>
        </is>
      </c>
      <c r="B16" s="12" t="n">
        <v>0.8</v>
      </c>
      <c r="C16" s="9" t="inlineStr">
        <is>
          <t>tỷ lệ</t>
        </is>
      </c>
      <c r="D16" s="10" t="inlineStr">
        <is>
          <t>Đạt dưới mức này thì hệ số bằng 0</t>
        </is>
      </c>
    </row>
    <row r="17">
      <c r="A17" s="7" t="inlineStr">
        <is>
          <t>Hệ số vượt mỗi 10%</t>
        </is>
      </c>
      <c r="B17" s="13" t="n">
        <v>0.15</v>
      </c>
      <c r="C17" s="9" t="inlineStr">
        <is>
          <t>hệ số</t>
        </is>
      </c>
      <c r="D17" s="10" t="inlineStr">
        <is>
          <t>Vượt 10% cộng 0,15</t>
        </is>
      </c>
    </row>
    <row r="18">
      <c r="A18" s="7" t="inlineStr">
        <is>
          <t>Trần hệ số vượt</t>
        </is>
      </c>
      <c r="B18" s="13" t="n">
        <v>1.5</v>
      </c>
      <c r="C18" s="9" t="inlineStr">
        <is>
          <t>hệ số</t>
        </is>
      </c>
      <c r="D18" s="10" t="inlineStr">
        <is>
          <t>Cao nhất 1,5 lần</t>
        </is>
      </c>
    </row>
    <row r="19">
      <c r="A19" s="7" t="inlineStr">
        <is>
          <t>Tỷ trọng quỹ chung</t>
        </is>
      </c>
      <c r="B19" s="12" t="n">
        <v>0.7</v>
      </c>
      <c r="C19" s="9" t="inlineStr">
        <is>
          <t>tỷ lệ</t>
        </is>
      </c>
      <c r="D19" s="10" t="inlineStr">
        <is>
          <t>70% theo doanh thu</t>
        </is>
      </c>
    </row>
    <row r="20">
      <c r="A20" s="7" t="inlineStr">
        <is>
          <t>Tỷ trọng chỉ số cá nhân</t>
        </is>
      </c>
      <c r="B20" s="12" t="n">
        <v>0.3</v>
      </c>
      <c r="C20" s="9" t="inlineStr">
        <is>
          <t>tỷ lệ</t>
        </is>
      </c>
      <c r="D20" s="10" t="inlineStr">
        <is>
          <t>30% theo chỉ số riêng</t>
        </is>
      </c>
    </row>
    <row r="22">
      <c r="A22" s="14" t="inlineStr">
        <is>
          <t>HỆ SỐ CHUNG (tính tự động)</t>
        </is>
      </c>
    </row>
    <row r="23">
      <c r="A23" s="15" t="inlineStr">
        <is>
          <t>Tỷ lệ đạt doanh thu</t>
        </is>
      </c>
      <c r="B23" s="16">
        <f>IFERROR('2. CẤU HÌNH'!$B$7/'2. CẤU HÌNH'!$B$6,0)</f>
        <v/>
      </c>
    </row>
    <row r="24">
      <c r="A24" s="15" t="inlineStr">
        <is>
          <t>HỆ SỐ CHUNG</t>
        </is>
      </c>
      <c r="B24" s="17">
        <f>IF('2. CẤU HÌNH'!$B$23&lt;'2. CẤU HÌNH'!$B$16,0,IF('2. CẤU HÌNH'!$B$23&lt;=1,'2. CẤU HÌNH'!$B$23,MIN('2. CẤU HÌNH'!$B$18,1+('2. CẤU HÌNH'!$B$23-1)/0.1*'2. CẤU HÌNH'!$B$17)))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8" customWidth="1" min="1" max="1"/>
    <col width="32" customWidth="1" min="2" max="2"/>
    <col width="26" customWidth="1" min="3" max="3"/>
    <col width="16" customWidth="1" min="4" max="4"/>
    <col width="18" customWidth="1" min="5" max="5"/>
    <col width="18" customWidth="1" min="6" max="6"/>
  </cols>
  <sheetData>
    <row r="1" ht="22" customHeight="1">
      <c r="A1" s="1" t="inlineStr">
        <is>
          <t>LƯƠNG VÀ QUỸ BIẾN ĐỘNG</t>
        </is>
      </c>
    </row>
    <row r="2">
      <c r="A2" s="2" t="inlineStr">
        <is>
          <t>Điền tổng thu nhập mục tiêu và tỷ lệ biến động. Quỹ tự tính.</t>
        </is>
      </c>
    </row>
    <row r="4" ht="30" customHeight="1">
      <c r="A4" s="6" t="inlineStr">
        <is>
          <t>TÊN</t>
        </is>
      </c>
      <c r="B4" s="6" t="inlineStr">
        <is>
          <t>VỊ TRÍ</t>
        </is>
      </c>
      <c r="C4" s="6" t="inlineStr">
        <is>
          <t>TỔNG THU NHẬP MỤC TIÊU / THÁNG</t>
        </is>
      </c>
      <c r="D4" s="6" t="inlineStr">
        <is>
          <t>TỶ LỆ BIẾN ĐỘNG</t>
        </is>
      </c>
      <c r="E4" s="6" t="inlineStr">
        <is>
          <t>LƯƠNG CỨNG</t>
        </is>
      </c>
      <c r="F4" s="6" t="inlineStr">
        <is>
          <t>QUỸ BIẾN ĐỘNG</t>
        </is>
      </c>
    </row>
    <row r="5">
      <c r="A5" s="7" t="inlineStr">
        <is>
          <t>Thắng</t>
        </is>
      </c>
      <c r="B5" s="18" t="inlineStr">
        <is>
          <t>Founder · Lead · Giảng chính</t>
        </is>
      </c>
      <c r="C5" s="11" t="n">
        <v>0</v>
      </c>
      <c r="D5" s="19" t="n">
        <v>0.4</v>
      </c>
      <c r="E5" s="20">
        <f>C5*(1-D5)</f>
        <v/>
      </c>
      <c r="F5" s="21">
        <f>C5*D5</f>
        <v/>
      </c>
    </row>
    <row r="6">
      <c r="A6" s="7" t="inlineStr">
        <is>
          <t>Nguyệt</t>
        </is>
      </c>
      <c r="B6" s="18" t="inlineStr">
        <is>
          <t>Ads Performance → Marketing Lead</t>
        </is>
      </c>
      <c r="C6" s="11" t="n">
        <v>0</v>
      </c>
      <c r="D6" s="19" t="n">
        <v>0.3</v>
      </c>
      <c r="E6" s="20">
        <f>C6*(1-D6)</f>
        <v/>
      </c>
      <c r="F6" s="21">
        <f>C6*D6</f>
        <v/>
      </c>
    </row>
    <row r="7">
      <c r="A7" s="7" t="inlineStr">
        <is>
          <t>Anh Thư</t>
        </is>
      </c>
      <c r="B7" s="18" t="inlineStr">
        <is>
          <t>Content Planner</t>
        </is>
      </c>
      <c r="C7" s="11" t="n">
        <v>0</v>
      </c>
      <c r="D7" s="19" t="n">
        <v>0.25</v>
      </c>
      <c r="E7" s="20">
        <f>C7*(1-D7)</f>
        <v/>
      </c>
      <c r="F7" s="21">
        <f>C7*D7</f>
        <v/>
      </c>
    </row>
    <row r="8">
      <c r="A8" s="7" t="inlineStr">
        <is>
          <t>Duy</t>
        </is>
      </c>
      <c r="B8" s="18" t="inlineStr">
        <is>
          <t>Video Editor</t>
        </is>
      </c>
      <c r="C8" s="11" t="n">
        <v>0</v>
      </c>
      <c r="D8" s="19" t="n">
        <v>0.25</v>
      </c>
      <c r="E8" s="20">
        <f>C8*(1-D8)</f>
        <v/>
      </c>
      <c r="F8" s="21">
        <f>C8*D8</f>
        <v/>
      </c>
    </row>
    <row r="9">
      <c r="A9" s="7" t="inlineStr">
        <is>
          <t>Linh</t>
        </is>
      </c>
      <c r="B9" s="18" t="inlineStr">
        <is>
          <t>Support &amp; Kỹ thuật lớp học</t>
        </is>
      </c>
      <c r="C9" s="11" t="n">
        <v>0</v>
      </c>
      <c r="D9" s="19" t="n">
        <v>0.2</v>
      </c>
      <c r="E9" s="20">
        <f>C9*(1-D9)</f>
        <v/>
      </c>
      <c r="F9" s="21">
        <f>C9*D9</f>
        <v/>
      </c>
    </row>
    <row r="10">
      <c r="A10" s="7" t="inlineStr">
        <is>
          <t>Đoan</t>
        </is>
      </c>
      <c r="B10" s="18" t="inlineStr">
        <is>
          <t>Support &amp; Kỹ thuật lớp học</t>
        </is>
      </c>
      <c r="C10" s="11" t="n">
        <v>0</v>
      </c>
      <c r="D10" s="19" t="n">
        <v>0.2</v>
      </c>
      <c r="E10" s="20">
        <f>C10*(1-D10)</f>
        <v/>
      </c>
      <c r="F10" s="21">
        <f>C10*D10</f>
        <v/>
      </c>
    </row>
    <row r="11">
      <c r="A11" s="7" t="inlineStr">
        <is>
          <t>Cường</t>
        </is>
      </c>
      <c r="B11" s="18" t="inlineStr">
        <is>
          <t>Support &amp; Kỹ thuật lớp học</t>
        </is>
      </c>
      <c r="C11" s="11" t="n">
        <v>0</v>
      </c>
      <c r="D11" s="19" t="n">
        <v>0.2</v>
      </c>
      <c r="E11" s="20">
        <f>C11*(1-D11)</f>
        <v/>
      </c>
      <c r="F11" s="21">
        <f>C11*D11</f>
        <v/>
      </c>
    </row>
    <row r="12">
      <c r="B12" s="22" t="inlineStr">
        <is>
          <t>TỔNG</t>
        </is>
      </c>
      <c r="C12" s="23">
        <f>SUM(C5:C11)</f>
        <v/>
      </c>
      <c r="E12" s="23">
        <f>SUM(E5:E11)</f>
        <v/>
      </c>
      <c r="F12" s="23">
        <f>SUM(F5:F11)</f>
        <v/>
      </c>
    </row>
    <row r="14">
      <c r="A14" s="24" t="inlineStr">
        <is>
          <t>Lưu ý: tỷ lệ biến động đang để mức đề xuất. Thắng 40% vì gánh doanh thu, nhóm Support 20% vì ít kiểm soát kết quả cuối. Sửa lại cho phù hợp.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16" customWidth="1" min="1" max="1"/>
    <col width="46" customWidth="1" min="2" max="2"/>
    <col width="11" customWidth="1" min="3" max="3"/>
    <col width="14" customWidth="1" min="4" max="4"/>
    <col width="14" customWidth="1" min="5" max="5"/>
    <col width="12" customWidth="1" min="6" max="6"/>
    <col width="13" customWidth="1" min="7" max="7"/>
    <col width="12" customWidth="1" min="8" max="8"/>
  </cols>
  <sheetData>
    <row r="1" ht="22" customHeight="1">
      <c r="A1" s="1" t="inlineStr">
        <is>
          <t>CHỈ SỐ CÁ NHÂN TỪNG VỊ TRÍ</t>
        </is>
      </c>
    </row>
    <row r="2">
      <c r="A2" s="2" t="inlineStr">
        <is>
          <t>Điền cột MỤC TIÊU và THỰC TẾ. Hệ số tự tính theo ba bậc. Mỗi người tối đa 4 chỉ số.</t>
        </is>
      </c>
    </row>
    <row r="4" ht="30" customHeight="1">
      <c r="A4" s="6" t="inlineStr">
        <is>
          <t>NGƯỜI</t>
        </is>
      </c>
      <c r="B4" s="6" t="inlineStr">
        <is>
          <t>CHỈ SỐ</t>
        </is>
      </c>
      <c r="C4" s="6" t="inlineStr">
        <is>
          <t>TRỌNG SỐ</t>
        </is>
      </c>
      <c r="D4" s="6" t="inlineStr">
        <is>
          <t>MỤC TIÊU</t>
        </is>
      </c>
      <c r="E4" s="6" t="inlineStr">
        <is>
          <t>THỰC TẾ</t>
        </is>
      </c>
      <c r="F4" s="6" t="inlineStr">
        <is>
          <t>TỶ LỆ ĐẠT</t>
        </is>
      </c>
      <c r="G4" s="6" t="inlineStr">
        <is>
          <t>HỆ SỐ 3 BẬC</t>
        </is>
      </c>
      <c r="H4" s="6" t="inlineStr">
        <is>
          <t>ĐÓNG GÓP</t>
        </is>
      </c>
    </row>
    <row r="5">
      <c r="A5" s="25" t="inlineStr">
        <is>
          <t>Thắng</t>
        </is>
      </c>
      <c r="B5" s="26" t="inlineStr">
        <is>
          <t>Doanh thu chuỗi</t>
        </is>
      </c>
      <c r="C5" s="27" t="n">
        <v>0.4</v>
      </c>
      <c r="D5" s="8" t="n">
        <v>0</v>
      </c>
      <c r="E5" s="8" t="n">
        <v>0</v>
      </c>
      <c r="F5" s="16">
        <f>IFERROR(E5/D5,0)</f>
        <v/>
      </c>
      <c r="G5" s="28">
        <f>IF(F5&lt;'2. CẤU HÌNH'!$B$16,0,IF(F5&lt;=1,F5,MIN('2. CẤU HÌNH'!$B$18,1+(F5-1)/0.1*'2. CẤU HÌNH'!$B$17)))</f>
        <v/>
      </c>
      <c r="H5" s="29">
        <f>C5*G5</f>
        <v/>
      </c>
    </row>
    <row r="6">
      <c r="A6" s="25" t="inlineStr">
        <is>
          <t>Thắng</t>
        </is>
      </c>
      <c r="B6" s="26" t="inlineStr">
        <is>
          <t>Tỷ lệ chốt trên số người dự buổi bán</t>
        </is>
      </c>
      <c r="C6" s="27" t="n">
        <v>0.25</v>
      </c>
      <c r="D6" s="8" t="n">
        <v>0</v>
      </c>
      <c r="E6" s="8" t="n">
        <v>0</v>
      </c>
      <c r="F6" s="16">
        <f>IFERROR(E6/D6,0)</f>
        <v/>
      </c>
      <c r="G6" s="28">
        <f>IF(F6&lt;'2. CẤU HÌNH'!$B$16,0,IF(F6&lt;=1,F6,MIN('2. CẤU HÌNH'!$B$18,1+(F6-1)/0.1*'2. CẤU HÌNH'!$B$17)))</f>
        <v/>
      </c>
      <c r="H6" s="29">
        <f>C6*G6</f>
        <v/>
      </c>
    </row>
    <row r="7">
      <c r="A7" s="25" t="inlineStr">
        <is>
          <t>Thắng</t>
        </is>
      </c>
      <c r="B7" s="26" t="inlineStr">
        <is>
          <t>Giá trị đơn trung bình</t>
        </is>
      </c>
      <c r="C7" s="27" t="n">
        <v>0.2</v>
      </c>
      <c r="D7" s="8" t="n">
        <v>0</v>
      </c>
      <c r="E7" s="8" t="n">
        <v>0</v>
      </c>
      <c r="F7" s="16">
        <f>IFERROR(E7/D7,0)</f>
        <v/>
      </c>
      <c r="G7" s="28">
        <f>IF(F7&lt;'2. CẤU HÌNH'!$B$16,0,IF(F7&lt;=1,F7,MIN('2. CẤU HÌNH'!$B$18,1+(F7-1)/0.1*'2. CẤU HÌNH'!$B$17)))</f>
        <v/>
      </c>
      <c r="H7" s="29">
        <f>C7*G7</f>
        <v/>
      </c>
    </row>
    <row r="8">
      <c r="A8" s="25" t="inlineStr">
        <is>
          <t>Thắng</t>
        </is>
      </c>
      <c r="B8" s="26" t="inlineStr">
        <is>
          <t>Số buổi/module đã đóng gói thành video</t>
        </is>
      </c>
      <c r="C8" s="27" t="n">
        <v>0.15</v>
      </c>
      <c r="D8" s="8" t="n">
        <v>0</v>
      </c>
      <c r="E8" s="8" t="n">
        <v>0</v>
      </c>
      <c r="F8" s="16">
        <f>IFERROR(E8/D8,0)</f>
        <v/>
      </c>
      <c r="G8" s="28">
        <f>IF(F8&lt;'2. CẤU HÌNH'!$B$16,0,IF(F8&lt;=1,F8,MIN('2. CẤU HÌNH'!$B$18,1+(F8-1)/0.1*'2. CẤU HÌNH'!$B$17)))</f>
        <v/>
      </c>
      <c r="H8" s="29">
        <f>C8*G8</f>
        <v/>
      </c>
    </row>
    <row r="9" ht="5" customHeight="1">
      <c r="A9" s="30" t="n"/>
      <c r="B9" s="30" t="n"/>
      <c r="C9" s="30" t="n"/>
      <c r="D9" s="30" t="n"/>
      <c r="E9" s="30" t="n"/>
      <c r="F9" s="30" t="n"/>
      <c r="G9" s="30" t="n"/>
      <c r="H9" s="30" t="n"/>
    </row>
    <row r="10">
      <c r="A10" s="25" t="inlineStr">
        <is>
          <t>Nguyệt</t>
        </is>
      </c>
      <c r="B10" s="26" t="inlineStr">
        <is>
          <t>Số đăng ký đạt mục tiêu</t>
        </is>
      </c>
      <c r="C10" s="27" t="n">
        <v>0.3</v>
      </c>
      <c r="D10" s="8" t="n">
        <v>0</v>
      </c>
      <c r="E10" s="8" t="n">
        <v>0</v>
      </c>
      <c r="F10" s="16">
        <f>IFERROR(E10/D10,0)</f>
        <v/>
      </c>
      <c r="G10" s="28">
        <f>IF(F10&lt;'2. CẤU HÌNH'!$B$16,0,IF(F10&lt;=1,F10,MIN('2. CẤU HÌNH'!$B$18,1+(F10-1)/0.1*'2. CẤU HÌNH'!$B$17)))</f>
        <v/>
      </c>
      <c r="H10" s="29">
        <f>C10*G10</f>
        <v/>
      </c>
    </row>
    <row r="11">
      <c r="A11" s="25" t="inlineStr">
        <is>
          <t>Nguyệt</t>
        </is>
      </c>
      <c r="B11" s="26" t="inlineStr">
        <is>
          <t>CPL tệp chủ doanh nghiệp (thấp hơn là tốt)</t>
        </is>
      </c>
      <c r="C11" s="27" t="n">
        <v>0.3</v>
      </c>
      <c r="D11" s="8" t="n">
        <v>0</v>
      </c>
      <c r="E11" s="8" t="n">
        <v>0</v>
      </c>
      <c r="F11" s="16">
        <f>IFERROR(D11/E11,0)</f>
        <v/>
      </c>
      <c r="G11" s="28">
        <f>IF(F11&lt;'2. CẤU HÌNH'!$B$16,0,IF(F11&lt;=1,F11,MIN('2. CẤU HÌNH'!$B$18,1+(F11-1)/0.1*'2. CẤU HÌNH'!$B$17)))</f>
        <v/>
      </c>
      <c r="H11" s="29">
        <f>C11*G11</f>
        <v/>
      </c>
    </row>
    <row r="12">
      <c r="A12" s="25" t="inlineStr">
        <is>
          <t>Nguyệt</t>
        </is>
      </c>
      <c r="B12" s="26" t="inlineStr">
        <is>
          <t>Tỷ lệ đăng ký khai là chủ doanh nghiệp</t>
        </is>
      </c>
      <c r="C12" s="27" t="n">
        <v>0.25</v>
      </c>
      <c r="D12" s="8" t="n">
        <v>0</v>
      </c>
      <c r="E12" s="8" t="n">
        <v>0</v>
      </c>
      <c r="F12" s="16">
        <f>IFERROR(E12/D12,0)</f>
        <v/>
      </c>
      <c r="G12" s="28">
        <f>IF(F12&lt;'2. CẤU HÌNH'!$B$16,0,IF(F12&lt;=1,F12,MIN('2. CẤU HÌNH'!$B$18,1+(F12-1)/0.1*'2. CẤU HÌNH'!$B$17)))</f>
        <v/>
      </c>
      <c r="H12" s="29">
        <f>C12*G12</f>
        <v/>
      </c>
    </row>
    <row r="13">
      <c r="A13" s="25" t="inlineStr">
        <is>
          <t>Nguyệt</t>
        </is>
      </c>
      <c r="B13" s="26" t="inlineStr">
        <is>
          <t>Báo cáo hằng ngày đúng hạn</t>
        </is>
      </c>
      <c r="C13" s="27" t="n">
        <v>0.15</v>
      </c>
      <c r="D13" s="8" t="n">
        <v>0</v>
      </c>
      <c r="E13" s="8" t="n">
        <v>0</v>
      </c>
      <c r="F13" s="16">
        <f>IFERROR(E13/D13,0)</f>
        <v/>
      </c>
      <c r="G13" s="28">
        <f>IF(F13&lt;'2. CẤU HÌNH'!$B$16,0,IF(F13&lt;=1,F13,MIN('2. CẤU HÌNH'!$B$18,1+(F13-1)/0.1*'2. CẤU HÌNH'!$B$17)))</f>
        <v/>
      </c>
      <c r="H13" s="29">
        <f>C13*G13</f>
        <v/>
      </c>
    </row>
    <row r="14" ht="5" customHeight="1">
      <c r="A14" s="30" t="n"/>
      <c r="B14" s="30" t="n"/>
      <c r="C14" s="30" t="n"/>
      <c r="D14" s="30" t="n"/>
      <c r="E14" s="30" t="n"/>
      <c r="F14" s="30" t="n"/>
      <c r="G14" s="30" t="n"/>
      <c r="H14" s="30" t="n"/>
    </row>
    <row r="15">
      <c r="A15" s="25" t="inlineStr">
        <is>
          <t>Anh Thư</t>
        </is>
      </c>
      <c r="B15" s="26" t="inlineStr">
        <is>
          <t>Nội dung giao đúng hạn theo sổ tay chuỗi</t>
        </is>
      </c>
      <c r="C15" s="27" t="n">
        <v>0.3</v>
      </c>
      <c r="D15" s="8" t="n">
        <v>0</v>
      </c>
      <c r="E15" s="8" t="n">
        <v>0</v>
      </c>
      <c r="F15" s="16">
        <f>IFERROR(E15/D15,0)</f>
        <v/>
      </c>
      <c r="G15" s="28">
        <f>IF(F15&lt;'2. CẤU HÌNH'!$B$16,0,IF(F15&lt;=1,F15,MIN('2. CẤU HÌNH'!$B$18,1+(F15-1)/0.1*'2. CẤU HÌNH'!$B$17)))</f>
        <v/>
      </c>
      <c r="H15" s="29">
        <f>C15*G15</f>
        <v/>
      </c>
    </row>
    <row r="16">
      <c r="A16" s="25" t="inlineStr">
        <is>
          <t>Anh Thư</t>
        </is>
      </c>
      <c r="B16" s="26" t="inlineStr">
        <is>
          <t>Tỷ lệ bình luận trên reach</t>
        </is>
      </c>
      <c r="C16" s="27" t="n">
        <v>0.25</v>
      </c>
      <c r="D16" s="8" t="n">
        <v>0</v>
      </c>
      <c r="E16" s="8" t="n">
        <v>0</v>
      </c>
      <c r="F16" s="16">
        <f>IFERROR(E16/D16,0)</f>
        <v/>
      </c>
      <c r="G16" s="28">
        <f>IF(F16&lt;'2. CẤU HÌNH'!$B$16,0,IF(F16&lt;=1,F16,MIN('2. CẤU HÌNH'!$B$18,1+(F16-1)/0.1*'2. CẤU HÌNH'!$B$17)))</f>
        <v/>
      </c>
      <c r="H16" s="29">
        <f>C16*G16</f>
        <v/>
      </c>
    </row>
    <row r="17">
      <c r="A17" s="25" t="inlineStr">
        <is>
          <t>Anh Thư</t>
        </is>
      </c>
      <c r="B17" s="26" t="inlineStr">
        <is>
          <t>Số lead gắn UTM từ nội dung organic</t>
        </is>
      </c>
      <c r="C17" s="27" t="n">
        <v>0.3</v>
      </c>
      <c r="D17" s="8" t="n">
        <v>0</v>
      </c>
      <c r="E17" s="8" t="n">
        <v>0</v>
      </c>
      <c r="F17" s="16">
        <f>IFERROR(E17/D17,0)</f>
        <v/>
      </c>
      <c r="G17" s="28">
        <f>IF(F17&lt;'2. CẤU HÌNH'!$B$16,0,IF(F17&lt;=1,F17,MIN('2. CẤU HÌNH'!$B$18,1+(F17-1)/0.1*'2. CẤU HÌNH'!$B$17)))</f>
        <v/>
      </c>
      <c r="H17" s="29">
        <f>C17*G17</f>
        <v/>
      </c>
    </row>
    <row r="18">
      <c r="A18" s="25" t="inlineStr">
        <is>
          <t>Anh Thư</t>
        </is>
      </c>
      <c r="B18" s="26" t="inlineStr">
        <is>
          <t>Tỷ lệ ad copy được duyệt ngay lần đầu</t>
        </is>
      </c>
      <c r="C18" s="27" t="n">
        <v>0.15</v>
      </c>
      <c r="D18" s="8" t="n">
        <v>0</v>
      </c>
      <c r="E18" s="8" t="n">
        <v>0</v>
      </c>
      <c r="F18" s="16">
        <f>IFERROR(E18/D18,0)</f>
        <v/>
      </c>
      <c r="G18" s="28">
        <f>IF(F18&lt;'2. CẤU HÌNH'!$B$16,0,IF(F18&lt;=1,F18,MIN('2. CẤU HÌNH'!$B$18,1+(F18-1)/0.1*'2. CẤU HÌNH'!$B$17)))</f>
        <v/>
      </c>
      <c r="H18" s="29">
        <f>C18*G18</f>
        <v/>
      </c>
    </row>
    <row r="19" ht="5" customHeight="1">
      <c r="A19" s="30" t="n"/>
      <c r="B19" s="30" t="n"/>
      <c r="C19" s="30" t="n"/>
      <c r="D19" s="30" t="n"/>
      <c r="E19" s="30" t="n"/>
      <c r="F19" s="30" t="n"/>
      <c r="G19" s="30" t="n"/>
      <c r="H19" s="30" t="n"/>
    </row>
    <row r="20">
      <c r="A20" s="25" t="inlineStr">
        <is>
          <t>Duy</t>
        </is>
      </c>
      <c r="B20" s="26" t="inlineStr">
        <is>
          <t>Giao record vé trả phí trong 12 giờ (CHẶN)</t>
        </is>
      </c>
      <c r="C20" s="27" t="n">
        <v>0.3</v>
      </c>
      <c r="D20" s="8" t="n">
        <v>0</v>
      </c>
      <c r="E20" s="8" t="n">
        <v>0</v>
      </c>
      <c r="F20" s="16">
        <f>IFERROR(E20/D20,0)</f>
        <v/>
      </c>
      <c r="G20" s="28">
        <f>IF(F20&lt;'2. CẤU HÌNH'!$B$16,0,IF(F20&lt;=1,F20,MIN('2. CẤU HÌNH'!$B$18,1+(F20-1)/0.1*'2. CẤU HÌNH'!$B$17)))</f>
        <v/>
      </c>
      <c r="H20" s="29">
        <f>C20*G20</f>
        <v/>
      </c>
    </row>
    <row r="21">
      <c r="A21" s="25" t="inlineStr">
        <is>
          <t>Duy</t>
        </is>
      </c>
      <c r="B21" s="26" t="inlineStr">
        <is>
          <t>Giao highlight trước 12:00 tuần live</t>
        </is>
      </c>
      <c r="C21" s="27" t="n">
        <v>0.25</v>
      </c>
      <c r="D21" s="8" t="n">
        <v>0</v>
      </c>
      <c r="E21" s="8" t="n">
        <v>0</v>
      </c>
      <c r="F21" s="16">
        <f>IFERROR(E21/D21,0)</f>
        <v/>
      </c>
      <c r="G21" s="28">
        <f>IF(F21&lt;'2. CẤU HÌNH'!$B$16,0,IF(F21&lt;=1,F21,MIN('2. CẤU HÌNH'!$B$18,1+(F21-1)/0.1*'2. CẤU HÌNH'!$B$17)))</f>
        <v/>
      </c>
      <c r="H21" s="29">
        <f>C21*G21</f>
        <v/>
      </c>
    </row>
    <row r="22">
      <c r="A22" s="25" t="inlineStr">
        <is>
          <t>Duy</t>
        </is>
      </c>
      <c r="B22" s="26" t="inlineStr">
        <is>
          <t>Số biến thể ad xuất đúng hạn</t>
        </is>
      </c>
      <c r="C22" s="27" t="n">
        <v>0.25</v>
      </c>
      <c r="D22" s="8" t="n">
        <v>0</v>
      </c>
      <c r="E22" s="8" t="n">
        <v>0</v>
      </c>
      <c r="F22" s="16">
        <f>IFERROR(E22/D22,0)</f>
        <v/>
      </c>
      <c r="G22" s="28">
        <f>IF(F22&lt;'2. CẤU HÌNH'!$B$16,0,IF(F22&lt;=1,F22,MIN('2. CẤU HÌNH'!$B$18,1+(F22-1)/0.1*'2. CẤU HÌNH'!$B$17)))</f>
        <v/>
      </c>
      <c r="H22" s="29">
        <f>C22*G22</f>
        <v/>
      </c>
    </row>
    <row r="23">
      <c r="A23" s="25" t="inlineStr">
        <is>
          <t>Duy</t>
        </is>
      </c>
      <c r="B23" s="26" t="inlineStr">
        <is>
          <t>Tỷ lệ xem hết của video ngắn</t>
        </is>
      </c>
      <c r="C23" s="27" t="n">
        <v>0.2</v>
      </c>
      <c r="D23" s="8" t="n">
        <v>0</v>
      </c>
      <c r="E23" s="8" t="n">
        <v>0</v>
      </c>
      <c r="F23" s="16">
        <f>IFERROR(E23/D23,0)</f>
        <v/>
      </c>
      <c r="G23" s="28">
        <f>IF(F23&lt;'2. CẤU HÌNH'!$B$16,0,IF(F23&lt;=1,F23,MIN('2. CẤU HÌNH'!$B$18,1+(F23-1)/0.1*'2. CẤU HÌNH'!$B$17)))</f>
        <v/>
      </c>
      <c r="H23" s="29">
        <f>C23*G23</f>
        <v/>
      </c>
    </row>
    <row r="24" ht="5" customHeight="1">
      <c r="A24" s="30" t="n"/>
      <c r="B24" s="30" t="n"/>
      <c r="C24" s="30" t="n"/>
      <c r="D24" s="30" t="n"/>
      <c r="E24" s="30" t="n"/>
      <c r="F24" s="30" t="n"/>
      <c r="G24" s="30" t="n"/>
      <c r="H24" s="30" t="n"/>
    </row>
    <row r="25">
      <c r="A25" s="25" t="inlineStr">
        <is>
          <t>Linh</t>
        </is>
      </c>
      <c r="B25" s="26" t="inlineStr">
        <is>
          <t>Show rate</t>
        </is>
      </c>
      <c r="C25" s="27" t="n">
        <v>0.3</v>
      </c>
      <c r="D25" s="8" t="n">
        <v>0</v>
      </c>
      <c r="E25" s="8" t="n">
        <v>0</v>
      </c>
      <c r="F25" s="16">
        <f>IFERROR(E25/D25,0)</f>
        <v/>
      </c>
      <c r="G25" s="28">
        <f>IF(F25&lt;'2. CẤU HÌNH'!$B$16,0,IF(F25&lt;=1,F25,MIN('2. CẤU HÌNH'!$B$18,1+(F25-1)/0.1*'2. CẤU HÌNH'!$B$17)))</f>
        <v/>
      </c>
      <c r="H25" s="29">
        <f>C25*G25</f>
        <v/>
      </c>
    </row>
    <row r="26">
      <c r="A26" s="25" t="inlineStr">
        <is>
          <t>Linh</t>
        </is>
      </c>
      <c r="B26" s="26" t="inlineStr">
        <is>
          <t>Tỷ lệ giữ chân đến 22:30</t>
        </is>
      </c>
      <c r="C26" s="27" t="n">
        <v>0.2</v>
      </c>
      <c r="D26" s="8" t="n">
        <v>0</v>
      </c>
      <c r="E26" s="8" t="n">
        <v>0</v>
      </c>
      <c r="F26" s="16">
        <f>IFERROR(E26/D26,0)</f>
        <v/>
      </c>
      <c r="G26" s="28">
        <f>IF(F26&lt;'2. CẤU HÌNH'!$B$16,0,IF(F26&lt;=1,F26,MIN('2. CẤU HÌNH'!$B$18,1+(F26-1)/0.1*'2. CẤU HÌNH'!$B$17)))</f>
        <v/>
      </c>
      <c r="H26" s="29">
        <f>C26*G26</f>
        <v/>
      </c>
    </row>
    <row r="27">
      <c r="A27" s="25" t="inlineStr">
        <is>
          <t>Linh</t>
        </is>
      </c>
      <c r="B27" s="26" t="inlineStr">
        <is>
          <t>Sự cố kỹ thuật gián đoạn buổi học (thấp hơn tốt)</t>
        </is>
      </c>
      <c r="C27" s="27" t="n">
        <v>0.3</v>
      </c>
      <c r="D27" s="8" t="n">
        <v>0</v>
      </c>
      <c r="E27" s="8" t="n">
        <v>0</v>
      </c>
      <c r="F27" s="16">
        <f>IFERROR(D27/E27,0)</f>
        <v/>
      </c>
      <c r="G27" s="28">
        <f>IF(F27&lt;'2. CẤU HÌNH'!$B$16,0,IF(F27&lt;=1,F27,MIN('2. CẤU HÌNH'!$B$18,1+(F27-1)/0.1*'2. CẤU HÌNH'!$B$17)))</f>
        <v/>
      </c>
      <c r="H27" s="29">
        <f>C27*G27</f>
        <v/>
      </c>
    </row>
    <row r="28">
      <c r="A28" s="25" t="inlineStr">
        <is>
          <t>Linh</t>
        </is>
      </c>
      <c r="B28" s="26" t="inlineStr">
        <is>
          <t>Xử lý form kim cương trong 24 giờ</t>
        </is>
      </c>
      <c r="C28" s="27" t="n">
        <v>0.2</v>
      </c>
      <c r="D28" s="8" t="n">
        <v>0</v>
      </c>
      <c r="E28" s="8" t="n">
        <v>0</v>
      </c>
      <c r="F28" s="16">
        <f>IFERROR(E28/D28,0)</f>
        <v/>
      </c>
      <c r="G28" s="28">
        <f>IF(F28&lt;'2. CẤU HÌNH'!$B$16,0,IF(F28&lt;=1,F28,MIN('2. CẤU HÌNH'!$B$18,1+(F28-1)/0.1*'2. CẤU HÌNH'!$B$17)))</f>
        <v/>
      </c>
      <c r="H28" s="29">
        <f>C28*G28</f>
        <v/>
      </c>
    </row>
    <row r="29" ht="5" customHeight="1">
      <c r="A29" s="30" t="n"/>
      <c r="B29" s="30" t="n"/>
      <c r="C29" s="30" t="n"/>
      <c r="D29" s="30" t="n"/>
      <c r="E29" s="30" t="n"/>
      <c r="F29" s="30" t="n"/>
      <c r="G29" s="30" t="n"/>
      <c r="H29" s="30" t="n"/>
    </row>
    <row r="30">
      <c r="A30" s="25" t="inlineStr">
        <is>
          <t>Đoan</t>
        </is>
      </c>
      <c r="B30" s="26" t="inlineStr">
        <is>
          <t>Show rate</t>
        </is>
      </c>
      <c r="C30" s="27" t="n">
        <v>0.3</v>
      </c>
      <c r="D30" s="8" t="n">
        <v>0</v>
      </c>
      <c r="E30" s="8" t="n">
        <v>0</v>
      </c>
      <c r="F30" s="16">
        <f>IFERROR(E30/D30,0)</f>
        <v/>
      </c>
      <c r="G30" s="28">
        <f>IF(F30&lt;'2. CẤU HÌNH'!$B$16,0,IF(F30&lt;=1,F30,MIN('2. CẤU HÌNH'!$B$18,1+(F30-1)/0.1*'2. CẤU HÌNH'!$B$17)))</f>
        <v/>
      </c>
      <c r="H30" s="29">
        <f>C30*G30</f>
        <v/>
      </c>
    </row>
    <row r="31">
      <c r="A31" s="25" t="inlineStr">
        <is>
          <t>Đoan</t>
        </is>
      </c>
      <c r="B31" s="26" t="inlineStr">
        <is>
          <t>Tỷ lệ giữ chân đến 22:30</t>
        </is>
      </c>
      <c r="C31" s="27" t="n">
        <v>0.2</v>
      </c>
      <c r="D31" s="8" t="n">
        <v>0</v>
      </c>
      <c r="E31" s="8" t="n">
        <v>0</v>
      </c>
      <c r="F31" s="16">
        <f>IFERROR(E31/D31,0)</f>
        <v/>
      </c>
      <c r="G31" s="28">
        <f>IF(F31&lt;'2. CẤU HÌNH'!$B$16,0,IF(F31&lt;=1,F31,MIN('2. CẤU HÌNH'!$B$18,1+(F31-1)/0.1*'2. CẤU HÌNH'!$B$17)))</f>
        <v/>
      </c>
      <c r="H31" s="29">
        <f>C31*G31</f>
        <v/>
      </c>
    </row>
    <row r="32">
      <c r="A32" s="25" t="inlineStr">
        <is>
          <t>Đoan</t>
        </is>
      </c>
      <c r="B32" s="26" t="inlineStr">
        <is>
          <t>Sự cố kỹ thuật gián đoạn buổi học (thấp hơn tốt)</t>
        </is>
      </c>
      <c r="C32" s="27" t="n">
        <v>0.3</v>
      </c>
      <c r="D32" s="8" t="n">
        <v>0</v>
      </c>
      <c r="E32" s="8" t="n">
        <v>0</v>
      </c>
      <c r="F32" s="16">
        <f>IFERROR(D32/E32,0)</f>
        <v/>
      </c>
      <c r="G32" s="28">
        <f>IF(F32&lt;'2. CẤU HÌNH'!$B$16,0,IF(F32&lt;=1,F32,MIN('2. CẤU HÌNH'!$B$18,1+(F32-1)/0.1*'2. CẤU HÌNH'!$B$17)))</f>
        <v/>
      </c>
      <c r="H32" s="29">
        <f>C32*G32</f>
        <v/>
      </c>
    </row>
    <row r="33">
      <c r="A33" s="25" t="inlineStr">
        <is>
          <t>Đoan</t>
        </is>
      </c>
      <c r="B33" s="26" t="inlineStr">
        <is>
          <t>Xử lý form kim cương trong 24 giờ</t>
        </is>
      </c>
      <c r="C33" s="27" t="n">
        <v>0.2</v>
      </c>
      <c r="D33" s="8" t="n">
        <v>0</v>
      </c>
      <c r="E33" s="8" t="n">
        <v>0</v>
      </c>
      <c r="F33" s="16">
        <f>IFERROR(E33/D33,0)</f>
        <v/>
      </c>
      <c r="G33" s="28">
        <f>IF(F33&lt;'2. CẤU HÌNH'!$B$16,0,IF(F33&lt;=1,F33,MIN('2. CẤU HÌNH'!$B$18,1+(F33-1)/0.1*'2. CẤU HÌNH'!$B$17)))</f>
        <v/>
      </c>
      <c r="H33" s="29">
        <f>C33*G33</f>
        <v/>
      </c>
    </row>
    <row r="34" ht="5" customHeight="1">
      <c r="A34" s="30" t="n"/>
      <c r="B34" s="30" t="n"/>
      <c r="C34" s="30" t="n"/>
      <c r="D34" s="30" t="n"/>
      <c r="E34" s="30" t="n"/>
      <c r="F34" s="30" t="n"/>
      <c r="G34" s="30" t="n"/>
      <c r="H34" s="30" t="n"/>
    </row>
    <row r="35">
      <c r="A35" s="25" t="inlineStr">
        <is>
          <t>Cường</t>
        </is>
      </c>
      <c r="B35" s="26" t="inlineStr">
        <is>
          <t>Show rate</t>
        </is>
      </c>
      <c r="C35" s="27" t="n">
        <v>0.3</v>
      </c>
      <c r="D35" s="8" t="n">
        <v>0</v>
      </c>
      <c r="E35" s="8" t="n">
        <v>0</v>
      </c>
      <c r="F35" s="16">
        <f>IFERROR(E35/D35,0)</f>
        <v/>
      </c>
      <c r="G35" s="28">
        <f>IF(F35&lt;'2. CẤU HÌNH'!$B$16,0,IF(F35&lt;=1,F35,MIN('2. CẤU HÌNH'!$B$18,1+(F35-1)/0.1*'2. CẤU HÌNH'!$B$17)))</f>
        <v/>
      </c>
      <c r="H35" s="29">
        <f>C35*G35</f>
        <v/>
      </c>
    </row>
    <row r="36">
      <c r="A36" s="25" t="inlineStr">
        <is>
          <t>Cường</t>
        </is>
      </c>
      <c r="B36" s="26" t="inlineStr">
        <is>
          <t>Tỷ lệ giữ chân đến 22:30</t>
        </is>
      </c>
      <c r="C36" s="27" t="n">
        <v>0.2</v>
      </c>
      <c r="D36" s="8" t="n">
        <v>0</v>
      </c>
      <c r="E36" s="8" t="n">
        <v>0</v>
      </c>
      <c r="F36" s="16">
        <f>IFERROR(E36/D36,0)</f>
        <v/>
      </c>
      <c r="G36" s="28">
        <f>IF(F36&lt;'2. CẤU HÌNH'!$B$16,0,IF(F36&lt;=1,F36,MIN('2. CẤU HÌNH'!$B$18,1+(F36-1)/0.1*'2. CẤU HÌNH'!$B$17)))</f>
        <v/>
      </c>
      <c r="H36" s="29">
        <f>C36*G36</f>
        <v/>
      </c>
    </row>
    <row r="37">
      <c r="A37" s="25" t="inlineStr">
        <is>
          <t>Cường</t>
        </is>
      </c>
      <c r="B37" s="26" t="inlineStr">
        <is>
          <t>Sự cố kỹ thuật gián đoạn buổi học (thấp hơn tốt)</t>
        </is>
      </c>
      <c r="C37" s="27" t="n">
        <v>0.3</v>
      </c>
      <c r="D37" s="8" t="n">
        <v>0</v>
      </c>
      <c r="E37" s="8" t="n">
        <v>0</v>
      </c>
      <c r="F37" s="16">
        <f>IFERROR(D37/E37,0)</f>
        <v/>
      </c>
      <c r="G37" s="28">
        <f>IF(F37&lt;'2. CẤU HÌNH'!$B$16,0,IF(F37&lt;=1,F37,MIN('2. CẤU HÌNH'!$B$18,1+(F37-1)/0.1*'2. CẤU HÌNH'!$B$17)))</f>
        <v/>
      </c>
      <c r="H37" s="29">
        <f>C37*G37</f>
        <v/>
      </c>
    </row>
    <row r="38">
      <c r="A38" s="25" t="inlineStr">
        <is>
          <t>Cường</t>
        </is>
      </c>
      <c r="B38" s="26" t="inlineStr">
        <is>
          <t>Xử lý form kim cương trong 24 giờ</t>
        </is>
      </c>
      <c r="C38" s="27" t="n">
        <v>0.2</v>
      </c>
      <c r="D38" s="8" t="n">
        <v>0</v>
      </c>
      <c r="E38" s="8" t="n">
        <v>0</v>
      </c>
      <c r="F38" s="16">
        <f>IFERROR(E38/D38,0)</f>
        <v/>
      </c>
      <c r="G38" s="28">
        <f>IF(F38&lt;'2. CẤU HÌNH'!$B$16,0,IF(F38&lt;=1,F38,MIN('2. CẤU HÌNH'!$B$18,1+(F38-1)/0.1*'2. CẤU HÌNH'!$B$17)))</f>
        <v/>
      </c>
      <c r="H38" s="29">
        <f>C38*G38</f>
        <v/>
      </c>
    </row>
    <row r="40">
      <c r="B40" s="24" t="inlineStr">
        <is>
          <t>Chỉ số ghi 'thấp hơn là tốt' được tính ngược: tỷ lệ đạt = Mục tiêu chia Thực tế.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16" customWidth="1" min="1" max="1"/>
    <col width="32" customWidth="1" min="2" max="2"/>
    <col width="16" customWidth="1" min="3" max="3"/>
    <col width="16" customWidth="1" min="4" max="4"/>
    <col width="17" customWidth="1" min="5" max="5"/>
    <col width="13" customWidth="1" min="6" max="6"/>
    <col width="17" customWidth="1" min="7" max="7"/>
    <col width="14" customWidth="1" min="8" max="8"/>
    <col width="18" customWidth="1" min="9" max="9"/>
  </cols>
  <sheetData>
    <row r="1" ht="22" customHeight="1">
      <c r="A1" s="1" t="inlineStr">
        <is>
          <t>BẢNG TÍNH THƯỞNG CUỐI CHUỖI</t>
        </is>
      </c>
    </row>
    <row r="2">
      <c r="A2" s="2" t="inlineStr">
        <is>
          <t>Tự tính hết. Chỉ cần điền xong sheet 2, 3, 4 và 6.</t>
        </is>
      </c>
    </row>
    <row r="4" ht="30" customHeight="1">
      <c r="A4" s="6" t="inlineStr">
        <is>
          <t>TÊN</t>
        </is>
      </c>
      <c r="B4" s="6" t="inlineStr">
        <is>
          <t>VỊ TRÍ</t>
        </is>
      </c>
      <c r="C4" s="6" t="inlineStr">
        <is>
          <t>QUỸ BIẾN ĐỘNG</t>
        </is>
      </c>
      <c r="D4" s="6" t="inlineStr">
        <is>
          <t>HỆ SỐ CHUNG (70%)</t>
        </is>
      </c>
      <c r="E4" s="6" t="inlineStr">
        <is>
          <t>HỆ SỐ CÁ NHÂN (30%)</t>
        </is>
      </c>
      <c r="F4" s="6" t="inlineStr">
        <is>
          <t>HỆ SỐ CUỐI</t>
        </is>
      </c>
      <c r="G4" s="6" t="inlineStr">
        <is>
          <t>THƯỞNG TRƯỚC TRỪ</t>
        </is>
      </c>
      <c r="H4" s="6" t="inlineStr">
        <is>
          <t>TRỪ CHẶN</t>
        </is>
      </c>
      <c r="I4" s="6" t="inlineStr">
        <is>
          <t>THỰC NHẬN THƯỞNG</t>
        </is>
      </c>
    </row>
    <row r="5">
      <c r="A5" s="7" t="inlineStr">
        <is>
          <t>Thắng</t>
        </is>
      </c>
      <c r="B5" s="18" t="inlineStr">
        <is>
          <t>Founder · Lead · Giảng chính</t>
        </is>
      </c>
      <c r="C5" s="20">
        <f>'3. LƯƠNG VÀ QUỸ'!F5</f>
        <v/>
      </c>
      <c r="D5" s="28">
        <f>'2. CẤU HÌNH'!$B$24</f>
        <v/>
      </c>
      <c r="E5" s="28">
        <f>IFERROR(SUMIF('4. CHỈ SỐ CÁ NHÂN'!$A$5:$A$38,"Thắng",'4. CHỈ SỐ CÁ NHÂN'!$H$5:$H$38),0)</f>
        <v/>
      </c>
      <c r="F5" s="31">
        <f>'2. CẤU HÌNH'!$B$19*D5+'2. CẤU HÌNH'!$B$20*E5</f>
        <v/>
      </c>
      <c r="G5" s="20">
        <f>C5*F5</f>
        <v/>
      </c>
      <c r="H5" s="32">
        <f>IFERROR(SUMIF('6. CHẾ TÀI'!$B$5:$B$40,A5,'6. CHẾ TÀI'!$F$5:$F$40),0)</f>
        <v/>
      </c>
      <c r="I5" s="33">
        <f>MAX(0,G5-H5)</f>
        <v/>
      </c>
    </row>
    <row r="6">
      <c r="A6" s="7" t="inlineStr">
        <is>
          <t>Nguyệt</t>
        </is>
      </c>
      <c r="B6" s="18" t="inlineStr">
        <is>
          <t>Ads Performance → Marketing Lead</t>
        </is>
      </c>
      <c r="C6" s="20">
        <f>'3. LƯƠNG VÀ QUỸ'!F6</f>
        <v/>
      </c>
      <c r="D6" s="28">
        <f>'2. CẤU HÌNH'!$B$24</f>
        <v/>
      </c>
      <c r="E6" s="28">
        <f>IFERROR(SUMIF('4. CHỈ SỐ CÁ NHÂN'!$A$5:$A$38,"Nguyệt",'4. CHỈ SỐ CÁ NHÂN'!$H$5:$H$38),0)</f>
        <v/>
      </c>
      <c r="F6" s="31">
        <f>'2. CẤU HÌNH'!$B$19*D6+'2. CẤU HÌNH'!$B$20*E6</f>
        <v/>
      </c>
      <c r="G6" s="20">
        <f>C6*F6</f>
        <v/>
      </c>
      <c r="H6" s="32">
        <f>IFERROR(SUMIF('6. CHẾ TÀI'!$B$5:$B$40,A6,'6. CHẾ TÀI'!$F$5:$F$40),0)</f>
        <v/>
      </c>
      <c r="I6" s="33">
        <f>MAX(0,G6-H6)</f>
        <v/>
      </c>
    </row>
    <row r="7">
      <c r="A7" s="7" t="inlineStr">
        <is>
          <t>Anh Thư</t>
        </is>
      </c>
      <c r="B7" s="18" t="inlineStr">
        <is>
          <t>Content Planner</t>
        </is>
      </c>
      <c r="C7" s="20">
        <f>'3. LƯƠNG VÀ QUỸ'!F7</f>
        <v/>
      </c>
      <c r="D7" s="28">
        <f>'2. CẤU HÌNH'!$B$24</f>
        <v/>
      </c>
      <c r="E7" s="28">
        <f>IFERROR(SUMIF('4. CHỈ SỐ CÁ NHÂN'!$A$5:$A$38,"Anh Thư",'4. CHỈ SỐ CÁ NHÂN'!$H$5:$H$38),0)</f>
        <v/>
      </c>
      <c r="F7" s="31">
        <f>'2. CẤU HÌNH'!$B$19*D7+'2. CẤU HÌNH'!$B$20*E7</f>
        <v/>
      </c>
      <c r="G7" s="20">
        <f>C7*F7</f>
        <v/>
      </c>
      <c r="H7" s="32">
        <f>IFERROR(SUMIF('6. CHẾ TÀI'!$B$5:$B$40,A7,'6. CHẾ TÀI'!$F$5:$F$40),0)</f>
        <v/>
      </c>
      <c r="I7" s="33">
        <f>MAX(0,G7-H7)</f>
        <v/>
      </c>
    </row>
    <row r="8">
      <c r="A8" s="7" t="inlineStr">
        <is>
          <t>Duy</t>
        </is>
      </c>
      <c r="B8" s="18" t="inlineStr">
        <is>
          <t>Video Editor</t>
        </is>
      </c>
      <c r="C8" s="20">
        <f>'3. LƯƠNG VÀ QUỸ'!F8</f>
        <v/>
      </c>
      <c r="D8" s="28">
        <f>'2. CẤU HÌNH'!$B$24</f>
        <v/>
      </c>
      <c r="E8" s="28">
        <f>IFERROR(SUMIF('4. CHỈ SỐ CÁ NHÂN'!$A$5:$A$38,"Duy",'4. CHỈ SỐ CÁ NHÂN'!$H$5:$H$38),0)</f>
        <v/>
      </c>
      <c r="F8" s="31">
        <f>'2. CẤU HÌNH'!$B$19*D8+'2. CẤU HÌNH'!$B$20*E8</f>
        <v/>
      </c>
      <c r="G8" s="20">
        <f>C8*F8</f>
        <v/>
      </c>
      <c r="H8" s="32">
        <f>IFERROR(SUMIF('6. CHẾ TÀI'!$B$5:$B$40,A8,'6. CHẾ TÀI'!$F$5:$F$40),0)</f>
        <v/>
      </c>
      <c r="I8" s="33">
        <f>MAX(0,G8-H8)</f>
        <v/>
      </c>
    </row>
    <row r="9">
      <c r="A9" s="7" t="inlineStr">
        <is>
          <t>Linh</t>
        </is>
      </c>
      <c r="B9" s="18" t="inlineStr">
        <is>
          <t>Support &amp; Kỹ thuật lớp học</t>
        </is>
      </c>
      <c r="C9" s="20">
        <f>'3. LƯƠNG VÀ QUỸ'!F9</f>
        <v/>
      </c>
      <c r="D9" s="28">
        <f>'2. CẤU HÌNH'!$B$24</f>
        <v/>
      </c>
      <c r="E9" s="28">
        <f>IFERROR(SUMIF('4. CHỈ SỐ CÁ NHÂN'!$A$5:$A$38,"Linh",'4. CHỈ SỐ CÁ NHÂN'!$H$5:$H$38),0)</f>
        <v/>
      </c>
      <c r="F9" s="31">
        <f>'2. CẤU HÌNH'!$B$19*D9+'2. CẤU HÌNH'!$B$20*E9</f>
        <v/>
      </c>
      <c r="G9" s="20">
        <f>C9*F9</f>
        <v/>
      </c>
      <c r="H9" s="32">
        <f>IFERROR(SUMIF('6. CHẾ TÀI'!$B$5:$B$40,A9,'6. CHẾ TÀI'!$F$5:$F$40),0)</f>
        <v/>
      </c>
      <c r="I9" s="33">
        <f>MAX(0,G9-H9)</f>
        <v/>
      </c>
    </row>
    <row r="10">
      <c r="A10" s="7" t="inlineStr">
        <is>
          <t>Đoan</t>
        </is>
      </c>
      <c r="B10" s="18" t="inlineStr">
        <is>
          <t>Support &amp; Kỹ thuật lớp học</t>
        </is>
      </c>
      <c r="C10" s="20">
        <f>'3. LƯƠNG VÀ QUỸ'!F10</f>
        <v/>
      </c>
      <c r="D10" s="28">
        <f>'2. CẤU HÌNH'!$B$24</f>
        <v/>
      </c>
      <c r="E10" s="28">
        <f>IFERROR(SUMIF('4. CHỈ SỐ CÁ NHÂN'!$A$5:$A$38,"Đoan",'4. CHỈ SỐ CÁ NHÂN'!$H$5:$H$38),0)</f>
        <v/>
      </c>
      <c r="F10" s="31">
        <f>'2. CẤU HÌNH'!$B$19*D10+'2. CẤU HÌNH'!$B$20*E10</f>
        <v/>
      </c>
      <c r="G10" s="20">
        <f>C10*F10</f>
        <v/>
      </c>
      <c r="H10" s="32">
        <f>IFERROR(SUMIF('6. CHẾ TÀI'!$B$5:$B$40,A10,'6. CHẾ TÀI'!$F$5:$F$40),0)</f>
        <v/>
      </c>
      <c r="I10" s="33">
        <f>MAX(0,G10-H10)</f>
        <v/>
      </c>
    </row>
    <row r="11">
      <c r="A11" s="7" t="inlineStr">
        <is>
          <t>Cường</t>
        </is>
      </c>
      <c r="B11" s="18" t="inlineStr">
        <is>
          <t>Support &amp; Kỹ thuật lớp học</t>
        </is>
      </c>
      <c r="C11" s="20">
        <f>'3. LƯƠNG VÀ QUỸ'!F11</f>
        <v/>
      </c>
      <c r="D11" s="28">
        <f>'2. CẤU HÌNH'!$B$24</f>
        <v/>
      </c>
      <c r="E11" s="28">
        <f>IFERROR(SUMIF('4. CHỈ SỐ CÁ NHÂN'!$A$5:$A$38,"Cường",'4. CHỈ SỐ CÁ NHÂN'!$H$5:$H$38),0)</f>
        <v/>
      </c>
      <c r="F11" s="31">
        <f>'2. CẤU HÌNH'!$B$19*D11+'2. CẤU HÌNH'!$B$20*E11</f>
        <v/>
      </c>
      <c r="G11" s="20">
        <f>C11*F11</f>
        <v/>
      </c>
      <c r="H11" s="32">
        <f>IFERROR(SUMIF('6. CHẾ TÀI'!$B$5:$B$40,A11,'6. CHẾ TÀI'!$F$5:$F$40),0)</f>
        <v/>
      </c>
      <c r="I11" s="33">
        <f>MAX(0,G11-H11)</f>
        <v/>
      </c>
    </row>
    <row r="12">
      <c r="B12" s="22" t="inlineStr">
        <is>
          <t>TỔNG CHI THƯỞNG</t>
        </is>
      </c>
      <c r="G12" s="23">
        <f>SUM(G5:G11)</f>
        <v/>
      </c>
      <c r="H12" s="23">
        <f>SUM(H5:H11)</f>
        <v/>
      </c>
      <c r="I12" s="23">
        <f>SUM(I5:I11)</f>
        <v/>
      </c>
    </row>
    <row r="14">
      <c r="A14" s="14" t="inlineStr">
        <is>
          <t>KIỂM TRA SỨC KHOẺ CHI PHÍ</t>
        </is>
      </c>
    </row>
    <row r="15">
      <c r="A15" s="15" t="inlineStr">
        <is>
          <t>Tổng thưởng / Doanh thu thực thu</t>
        </is>
      </c>
      <c r="C15" s="16">
        <f>IFERROR(I12/'2. CẤU HÌNH'!$B$7,0)</f>
        <v/>
      </c>
      <c r="D15" s="2" t="inlineStr">
        <is>
          <t>Nếu vượt 15% thì xem lại cơ cấu thưởng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12" customWidth="1" min="1" max="1"/>
    <col width="16" customWidth="1" min="2" max="2"/>
    <col width="18" customWidth="1" min="3" max="3"/>
    <col width="16" customWidth="1" min="4" max="4"/>
    <col width="26" customWidth="1" min="5" max="5"/>
    <col width="16" customWidth="1" min="6" max="6"/>
    <col width="40" customWidth="1" min="7" max="7"/>
  </cols>
  <sheetData>
    <row r="1" ht="22" customHeight="1">
      <c r="A1" s="1" t="inlineStr">
        <is>
          <t>GHI NHẬN CHẾ TÀI VIỆC CHẶN TRỄ</t>
        </is>
      </c>
    </row>
    <row r="2">
      <c r="A2" s="2" t="inlineStr">
        <is>
          <t>Chỉ việc gắn nhãn CHẶN mới bị chế tài. Đã báo 'Đang tắc' đúng quy trình thì KHÔNG trừ.</t>
        </is>
      </c>
    </row>
    <row r="4" ht="30" customHeight="1">
      <c r="A4" s="6" t="inlineStr">
        <is>
          <t>MÃ VIỆC</t>
        </is>
      </c>
      <c r="B4" s="6" t="inlineStr">
        <is>
          <t>NGƯỜI</t>
        </is>
      </c>
      <c r="C4" s="6" t="inlineStr">
        <is>
          <t>MỨC</t>
        </is>
      </c>
      <c r="D4" s="6" t="inlineStr">
        <is>
          <t>SỐ GIỜ QUÁ HẠN</t>
        </is>
      </c>
      <c r="E4" s="6" t="inlineStr">
        <is>
          <t>ĐÃ BÁO TẮC ĐÚNG QUY TRÌNH?</t>
        </is>
      </c>
      <c r="F4" s="6" t="inlineStr">
        <is>
          <t>SỐ TIỀN TRỪ</t>
        </is>
      </c>
      <c r="G4" s="6" t="inlineStr">
        <is>
          <t>GHI CHÚ</t>
        </is>
      </c>
    </row>
    <row r="5">
      <c r="A5" s="8" t="n"/>
      <c r="B5" s="8" t="n"/>
      <c r="C5" s="8" t="n"/>
      <c r="D5" s="8" t="n"/>
      <c r="E5" s="8" t="n"/>
      <c r="F5" s="32">
        <f>IF(OR(B5="",E5="Có"),0,IFERROR(INDEX('3. LƯƠNG VÀ QUỸ'!$F$5:$F$11,MATCH(B5,'3. LƯƠNG VÀ QUỸ'!$A$5:$A$11,0))*IF(C5="Trừ bậc 2",0.25,IF(C5="Trừ bậc 1",0.1,0)),0))</f>
        <v/>
      </c>
      <c r="G5" s="8" t="n"/>
    </row>
    <row r="6">
      <c r="A6" s="8" t="n"/>
      <c r="B6" s="8" t="n"/>
      <c r="C6" s="8" t="n"/>
      <c r="D6" s="8" t="n"/>
      <c r="E6" s="8" t="n"/>
      <c r="F6" s="32">
        <f>IF(OR(B6="",E6="Có"),0,IFERROR(INDEX('3. LƯƠNG VÀ QUỸ'!$F$5:$F$11,MATCH(B6,'3. LƯƠNG VÀ QUỸ'!$A$5:$A$11,0))*IF(C6="Trừ bậc 2",0.25,IF(C6="Trừ bậc 1",0.1,0)),0))</f>
        <v/>
      </c>
      <c r="G6" s="8" t="n"/>
    </row>
    <row r="7">
      <c r="A7" s="8" t="n"/>
      <c r="B7" s="8" t="n"/>
      <c r="C7" s="8" t="n"/>
      <c r="D7" s="8" t="n"/>
      <c r="E7" s="8" t="n"/>
      <c r="F7" s="32">
        <f>IF(OR(B7="",E7="Có"),0,IFERROR(INDEX('3. LƯƠNG VÀ QUỸ'!$F$5:$F$11,MATCH(B7,'3. LƯƠNG VÀ QUỸ'!$A$5:$A$11,0))*IF(C7="Trừ bậc 2",0.25,IF(C7="Trừ bậc 1",0.1,0)),0))</f>
        <v/>
      </c>
      <c r="G7" s="8" t="n"/>
    </row>
    <row r="8">
      <c r="A8" s="8" t="n"/>
      <c r="B8" s="8" t="n"/>
      <c r="C8" s="8" t="n"/>
      <c r="D8" s="8" t="n"/>
      <c r="E8" s="8" t="n"/>
      <c r="F8" s="32">
        <f>IF(OR(B8="",E8="Có"),0,IFERROR(INDEX('3. LƯƠNG VÀ QUỸ'!$F$5:$F$11,MATCH(B8,'3. LƯƠNG VÀ QUỸ'!$A$5:$A$11,0))*IF(C8="Trừ bậc 2",0.25,IF(C8="Trừ bậc 1",0.1,0)),0))</f>
        <v/>
      </c>
      <c r="G8" s="8" t="n"/>
    </row>
    <row r="9">
      <c r="A9" s="8" t="n"/>
      <c r="B9" s="8" t="n"/>
      <c r="C9" s="8" t="n"/>
      <c r="D9" s="8" t="n"/>
      <c r="E9" s="8" t="n"/>
      <c r="F9" s="32">
        <f>IF(OR(B9="",E9="Có"),0,IFERROR(INDEX('3. LƯƠNG VÀ QUỸ'!$F$5:$F$11,MATCH(B9,'3. LƯƠNG VÀ QUỸ'!$A$5:$A$11,0))*IF(C9="Trừ bậc 2",0.25,IF(C9="Trừ bậc 1",0.1,0)),0))</f>
        <v/>
      </c>
      <c r="G9" s="8" t="n"/>
    </row>
    <row r="10">
      <c r="A10" s="8" t="n"/>
      <c r="B10" s="8" t="n"/>
      <c r="C10" s="8" t="n"/>
      <c r="D10" s="8" t="n"/>
      <c r="E10" s="8" t="n"/>
      <c r="F10" s="32">
        <f>IF(OR(B10="",E10="Có"),0,IFERROR(INDEX('3. LƯƠNG VÀ QUỸ'!$F$5:$F$11,MATCH(B10,'3. LƯƠNG VÀ QUỸ'!$A$5:$A$11,0))*IF(C10="Trừ bậc 2",0.25,IF(C10="Trừ bậc 1",0.1,0)),0))</f>
        <v/>
      </c>
      <c r="G10" s="8" t="n"/>
    </row>
    <row r="11">
      <c r="A11" s="8" t="n"/>
      <c r="B11" s="8" t="n"/>
      <c r="C11" s="8" t="n"/>
      <c r="D11" s="8" t="n"/>
      <c r="E11" s="8" t="n"/>
      <c r="F11" s="32">
        <f>IF(OR(B11="",E11="Có"),0,IFERROR(INDEX('3. LƯƠNG VÀ QUỸ'!$F$5:$F$11,MATCH(B11,'3. LƯƠNG VÀ QUỸ'!$A$5:$A$11,0))*IF(C11="Trừ bậc 2",0.25,IF(C11="Trừ bậc 1",0.1,0)),0))</f>
        <v/>
      </c>
      <c r="G11" s="8" t="n"/>
    </row>
    <row r="12">
      <c r="A12" s="8" t="n"/>
      <c r="B12" s="8" t="n"/>
      <c r="C12" s="8" t="n"/>
      <c r="D12" s="8" t="n"/>
      <c r="E12" s="8" t="n"/>
      <c r="F12" s="32">
        <f>IF(OR(B12="",E12="Có"),0,IFERROR(INDEX('3. LƯƠNG VÀ QUỸ'!$F$5:$F$11,MATCH(B12,'3. LƯƠNG VÀ QUỸ'!$A$5:$A$11,0))*IF(C12="Trừ bậc 2",0.25,IF(C12="Trừ bậc 1",0.1,0)),0))</f>
        <v/>
      </c>
      <c r="G12" s="8" t="n"/>
    </row>
    <row r="13">
      <c r="A13" s="8" t="n"/>
      <c r="B13" s="8" t="n"/>
      <c r="C13" s="8" t="n"/>
      <c r="D13" s="8" t="n"/>
      <c r="E13" s="8" t="n"/>
      <c r="F13" s="32">
        <f>IF(OR(B13="",E13="Có"),0,IFERROR(INDEX('3. LƯƠNG VÀ QUỸ'!$F$5:$F$11,MATCH(B13,'3. LƯƠNG VÀ QUỸ'!$A$5:$A$11,0))*IF(C13="Trừ bậc 2",0.25,IF(C13="Trừ bậc 1",0.1,0)),0))</f>
        <v/>
      </c>
      <c r="G13" s="8" t="n"/>
    </row>
    <row r="14">
      <c r="A14" s="8" t="n"/>
      <c r="B14" s="8" t="n"/>
      <c r="C14" s="8" t="n"/>
      <c r="D14" s="8" t="n"/>
      <c r="E14" s="8" t="n"/>
      <c r="F14" s="32">
        <f>IF(OR(B14="",E14="Có"),0,IFERROR(INDEX('3. LƯƠNG VÀ QUỸ'!$F$5:$F$11,MATCH(B14,'3. LƯƠNG VÀ QUỸ'!$A$5:$A$11,0))*IF(C14="Trừ bậc 2",0.25,IF(C14="Trừ bậc 1",0.1,0)),0))</f>
        <v/>
      </c>
      <c r="G14" s="8" t="n"/>
    </row>
    <row r="15">
      <c r="A15" s="8" t="n"/>
      <c r="B15" s="8" t="n"/>
      <c r="C15" s="8" t="n"/>
      <c r="D15" s="8" t="n"/>
      <c r="E15" s="8" t="n"/>
      <c r="F15" s="32">
        <f>IF(OR(B15="",E15="Có"),0,IFERROR(INDEX('3. LƯƠNG VÀ QUỸ'!$F$5:$F$11,MATCH(B15,'3. LƯƠNG VÀ QUỸ'!$A$5:$A$11,0))*IF(C15="Trừ bậc 2",0.25,IF(C15="Trừ bậc 1",0.1,0)),0))</f>
        <v/>
      </c>
      <c r="G15" s="8" t="n"/>
    </row>
    <row r="16">
      <c r="A16" s="8" t="n"/>
      <c r="B16" s="8" t="n"/>
      <c r="C16" s="8" t="n"/>
      <c r="D16" s="8" t="n"/>
      <c r="E16" s="8" t="n"/>
      <c r="F16" s="32">
        <f>IF(OR(B16="",E16="Có"),0,IFERROR(INDEX('3. LƯƠNG VÀ QUỸ'!$F$5:$F$11,MATCH(B16,'3. LƯƠNG VÀ QUỸ'!$A$5:$A$11,0))*IF(C16="Trừ bậc 2",0.25,IF(C16="Trừ bậc 1",0.1,0)),0))</f>
        <v/>
      </c>
      <c r="G16" s="8" t="n"/>
    </row>
    <row r="17">
      <c r="A17" s="8" t="n"/>
      <c r="B17" s="8" t="n"/>
      <c r="C17" s="8" t="n"/>
      <c r="D17" s="8" t="n"/>
      <c r="E17" s="8" t="n"/>
      <c r="F17" s="32">
        <f>IF(OR(B17="",E17="Có"),0,IFERROR(INDEX('3. LƯƠNG VÀ QUỸ'!$F$5:$F$11,MATCH(B17,'3. LƯƠNG VÀ QUỸ'!$A$5:$A$11,0))*IF(C17="Trừ bậc 2",0.25,IF(C17="Trừ bậc 1",0.1,0)),0))</f>
        <v/>
      </c>
      <c r="G17" s="8" t="n"/>
    </row>
    <row r="18">
      <c r="A18" s="8" t="n"/>
      <c r="B18" s="8" t="n"/>
      <c r="C18" s="8" t="n"/>
      <c r="D18" s="8" t="n"/>
      <c r="E18" s="8" t="n"/>
      <c r="F18" s="32">
        <f>IF(OR(B18="",E18="Có"),0,IFERROR(INDEX('3. LƯƠNG VÀ QUỸ'!$F$5:$F$11,MATCH(B18,'3. LƯƠNG VÀ QUỸ'!$A$5:$A$11,0))*IF(C18="Trừ bậc 2",0.25,IF(C18="Trừ bậc 1",0.1,0)),0))</f>
        <v/>
      </c>
      <c r="G18" s="8" t="n"/>
    </row>
    <row r="19">
      <c r="A19" s="8" t="n"/>
      <c r="B19" s="8" t="n"/>
      <c r="C19" s="8" t="n"/>
      <c r="D19" s="8" t="n"/>
      <c r="E19" s="8" t="n"/>
      <c r="F19" s="32">
        <f>IF(OR(B19="",E19="Có"),0,IFERROR(INDEX('3. LƯƠNG VÀ QUỸ'!$F$5:$F$11,MATCH(B19,'3. LƯƠNG VÀ QUỸ'!$A$5:$A$11,0))*IF(C19="Trừ bậc 2",0.25,IF(C19="Trừ bậc 1",0.1,0)),0))</f>
        <v/>
      </c>
      <c r="G19" s="8" t="n"/>
    </row>
    <row r="20">
      <c r="A20" s="8" t="n"/>
      <c r="B20" s="8" t="n"/>
      <c r="C20" s="8" t="n"/>
      <c r="D20" s="8" t="n"/>
      <c r="E20" s="8" t="n"/>
      <c r="F20" s="32">
        <f>IF(OR(B20="",E20="Có"),0,IFERROR(INDEX('3. LƯƠNG VÀ QUỸ'!$F$5:$F$11,MATCH(B20,'3. LƯƠNG VÀ QUỸ'!$A$5:$A$11,0))*IF(C20="Trừ bậc 2",0.25,IF(C20="Trừ bậc 1",0.1,0)),0))</f>
        <v/>
      </c>
      <c r="G20" s="8" t="n"/>
    </row>
    <row r="21">
      <c r="A21" s="8" t="n"/>
      <c r="B21" s="8" t="n"/>
      <c r="C21" s="8" t="n"/>
      <c r="D21" s="8" t="n"/>
      <c r="E21" s="8" t="n"/>
      <c r="F21" s="32">
        <f>IF(OR(B21="",E21="Có"),0,IFERROR(INDEX('3. LƯƠNG VÀ QUỸ'!$F$5:$F$11,MATCH(B21,'3. LƯƠNG VÀ QUỸ'!$A$5:$A$11,0))*IF(C21="Trừ bậc 2",0.25,IF(C21="Trừ bậc 1",0.1,0)),0))</f>
        <v/>
      </c>
      <c r="G21" s="8" t="n"/>
    </row>
    <row r="22">
      <c r="A22" s="8" t="n"/>
      <c r="B22" s="8" t="n"/>
      <c r="C22" s="8" t="n"/>
      <c r="D22" s="8" t="n"/>
      <c r="E22" s="8" t="n"/>
      <c r="F22" s="32">
        <f>IF(OR(B22="",E22="Có"),0,IFERROR(INDEX('3. LƯƠNG VÀ QUỸ'!$F$5:$F$11,MATCH(B22,'3. LƯƠNG VÀ QUỸ'!$A$5:$A$11,0))*IF(C22="Trừ bậc 2",0.25,IF(C22="Trừ bậc 1",0.1,0)),0))</f>
        <v/>
      </c>
      <c r="G22" s="8" t="n"/>
    </row>
    <row r="23">
      <c r="A23" s="8" t="n"/>
      <c r="B23" s="8" t="n"/>
      <c r="C23" s="8" t="n"/>
      <c r="D23" s="8" t="n"/>
      <c r="E23" s="8" t="n"/>
      <c r="F23" s="32">
        <f>IF(OR(B23="",E23="Có"),0,IFERROR(INDEX('3. LƯƠNG VÀ QUỸ'!$F$5:$F$11,MATCH(B23,'3. LƯƠNG VÀ QUỸ'!$A$5:$A$11,0))*IF(C23="Trừ bậc 2",0.25,IF(C23="Trừ bậc 1",0.1,0)),0))</f>
        <v/>
      </c>
      <c r="G23" s="8" t="n"/>
    </row>
    <row r="24">
      <c r="A24" s="8" t="n"/>
      <c r="B24" s="8" t="n"/>
      <c r="C24" s="8" t="n"/>
      <c r="D24" s="8" t="n"/>
      <c r="E24" s="8" t="n"/>
      <c r="F24" s="32">
        <f>IF(OR(B24="",E24="Có"),0,IFERROR(INDEX('3. LƯƠNG VÀ QUỸ'!$F$5:$F$11,MATCH(B24,'3. LƯƠNG VÀ QUỸ'!$A$5:$A$11,0))*IF(C24="Trừ bậc 2",0.25,IF(C24="Trừ bậc 1",0.1,0)),0))</f>
        <v/>
      </c>
      <c r="G24" s="8" t="n"/>
    </row>
    <row r="25">
      <c r="A25" s="8" t="n"/>
      <c r="B25" s="8" t="n"/>
      <c r="C25" s="8" t="n"/>
      <c r="D25" s="8" t="n"/>
      <c r="E25" s="8" t="n"/>
      <c r="F25" s="32">
        <f>IF(OR(B25="",E25="Có"),0,IFERROR(INDEX('3. LƯƠNG VÀ QUỸ'!$F$5:$F$11,MATCH(B25,'3. LƯƠNG VÀ QUỸ'!$A$5:$A$11,0))*IF(C25="Trừ bậc 2",0.25,IF(C25="Trừ bậc 1",0.1,0)),0))</f>
        <v/>
      </c>
      <c r="G25" s="8" t="n"/>
    </row>
    <row r="26">
      <c r="A26" s="8" t="n"/>
      <c r="B26" s="8" t="n"/>
      <c r="C26" s="8" t="n"/>
      <c r="D26" s="8" t="n"/>
      <c r="E26" s="8" t="n"/>
      <c r="F26" s="32">
        <f>IF(OR(B26="",E26="Có"),0,IFERROR(INDEX('3. LƯƠNG VÀ QUỸ'!$F$5:$F$11,MATCH(B26,'3. LƯƠNG VÀ QUỸ'!$A$5:$A$11,0))*IF(C26="Trừ bậc 2",0.25,IF(C26="Trừ bậc 1",0.1,0)),0))</f>
        <v/>
      </c>
      <c r="G26" s="8" t="n"/>
    </row>
    <row r="27">
      <c r="A27" s="8" t="n"/>
      <c r="B27" s="8" t="n"/>
      <c r="C27" s="8" t="n"/>
      <c r="D27" s="8" t="n"/>
      <c r="E27" s="8" t="n"/>
      <c r="F27" s="32">
        <f>IF(OR(B27="",E27="Có"),0,IFERROR(INDEX('3. LƯƠNG VÀ QUỸ'!$F$5:$F$11,MATCH(B27,'3. LƯƠNG VÀ QUỸ'!$A$5:$A$11,0))*IF(C27="Trừ bậc 2",0.25,IF(C27="Trừ bậc 1",0.1,0)),0))</f>
        <v/>
      </c>
      <c r="G27" s="8" t="n"/>
    </row>
    <row r="28">
      <c r="A28" s="8" t="n"/>
      <c r="B28" s="8" t="n"/>
      <c r="C28" s="8" t="n"/>
      <c r="D28" s="8" t="n"/>
      <c r="E28" s="8" t="n"/>
      <c r="F28" s="32">
        <f>IF(OR(B28="",E28="Có"),0,IFERROR(INDEX('3. LƯƠNG VÀ QUỸ'!$F$5:$F$11,MATCH(B28,'3. LƯƠNG VÀ QUỸ'!$A$5:$A$11,0))*IF(C28="Trừ bậc 2",0.25,IF(C28="Trừ bậc 1",0.1,0)),0))</f>
        <v/>
      </c>
      <c r="G28" s="8" t="n"/>
    </row>
    <row r="29">
      <c r="A29" s="8" t="n"/>
      <c r="B29" s="8" t="n"/>
      <c r="C29" s="8" t="n"/>
      <c r="D29" s="8" t="n"/>
      <c r="E29" s="8" t="n"/>
      <c r="F29" s="32">
        <f>IF(OR(B29="",E29="Có"),0,IFERROR(INDEX('3. LƯƠNG VÀ QUỸ'!$F$5:$F$11,MATCH(B29,'3. LƯƠNG VÀ QUỸ'!$A$5:$A$11,0))*IF(C29="Trừ bậc 2",0.25,IF(C29="Trừ bậc 1",0.1,0)),0))</f>
        <v/>
      </c>
      <c r="G29" s="8" t="n"/>
    </row>
    <row r="30">
      <c r="A30" s="8" t="n"/>
      <c r="B30" s="8" t="n"/>
      <c r="C30" s="8" t="n"/>
      <c r="D30" s="8" t="n"/>
      <c r="E30" s="8" t="n"/>
      <c r="F30" s="32">
        <f>IF(OR(B30="",E30="Có"),0,IFERROR(INDEX('3. LƯƠNG VÀ QUỸ'!$F$5:$F$11,MATCH(B30,'3. LƯƠNG VÀ QUỸ'!$A$5:$A$11,0))*IF(C30="Trừ bậc 2",0.25,IF(C30="Trừ bậc 1",0.1,0)),0))</f>
        <v/>
      </c>
      <c r="G30" s="8" t="n"/>
    </row>
    <row r="31">
      <c r="A31" s="8" t="n"/>
      <c r="B31" s="8" t="n"/>
      <c r="C31" s="8" t="n"/>
      <c r="D31" s="8" t="n"/>
      <c r="E31" s="8" t="n"/>
      <c r="F31" s="32">
        <f>IF(OR(B31="",E31="Có"),0,IFERROR(INDEX('3. LƯƠNG VÀ QUỸ'!$F$5:$F$11,MATCH(B31,'3. LƯƠNG VÀ QUỸ'!$A$5:$A$11,0))*IF(C31="Trừ bậc 2",0.25,IF(C31="Trừ bậc 1",0.1,0)),0))</f>
        <v/>
      </c>
      <c r="G31" s="8" t="n"/>
    </row>
    <row r="32">
      <c r="A32" s="8" t="n"/>
      <c r="B32" s="8" t="n"/>
      <c r="C32" s="8" t="n"/>
      <c r="D32" s="8" t="n"/>
      <c r="E32" s="8" t="n"/>
      <c r="F32" s="32">
        <f>IF(OR(B32="",E32="Có"),0,IFERROR(INDEX('3. LƯƠNG VÀ QUỸ'!$F$5:$F$11,MATCH(B32,'3. LƯƠNG VÀ QUỸ'!$A$5:$A$11,0))*IF(C32="Trừ bậc 2",0.25,IF(C32="Trừ bậc 1",0.1,0)),0))</f>
        <v/>
      </c>
      <c r="G32" s="8" t="n"/>
    </row>
    <row r="33">
      <c r="A33" s="8" t="n"/>
      <c r="B33" s="8" t="n"/>
      <c r="C33" s="8" t="n"/>
      <c r="D33" s="8" t="n"/>
      <c r="E33" s="8" t="n"/>
      <c r="F33" s="32">
        <f>IF(OR(B33="",E33="Có"),0,IFERROR(INDEX('3. LƯƠNG VÀ QUỸ'!$F$5:$F$11,MATCH(B33,'3. LƯƠNG VÀ QUỸ'!$A$5:$A$11,0))*IF(C33="Trừ bậc 2",0.25,IF(C33="Trừ bậc 1",0.1,0)),0))</f>
        <v/>
      </c>
      <c r="G33" s="8" t="n"/>
    </row>
    <row r="34">
      <c r="A34" s="8" t="n"/>
      <c r="B34" s="8" t="n"/>
      <c r="C34" s="8" t="n"/>
      <c r="D34" s="8" t="n"/>
      <c r="E34" s="8" t="n"/>
      <c r="F34" s="32">
        <f>IF(OR(B34="",E34="Có"),0,IFERROR(INDEX('3. LƯƠNG VÀ QUỸ'!$F$5:$F$11,MATCH(B34,'3. LƯƠNG VÀ QUỸ'!$A$5:$A$11,0))*IF(C34="Trừ bậc 2",0.25,IF(C34="Trừ bậc 1",0.1,0)),0))</f>
        <v/>
      </c>
      <c r="G34" s="8" t="n"/>
    </row>
    <row r="35">
      <c r="A35" s="8" t="n"/>
      <c r="B35" s="8" t="n"/>
      <c r="C35" s="8" t="n"/>
      <c r="D35" s="8" t="n"/>
      <c r="E35" s="8" t="n"/>
      <c r="F35" s="32">
        <f>IF(OR(B35="",E35="Có"),0,IFERROR(INDEX('3. LƯƠNG VÀ QUỸ'!$F$5:$F$11,MATCH(B35,'3. LƯƠNG VÀ QUỸ'!$A$5:$A$11,0))*IF(C35="Trừ bậc 2",0.25,IF(C35="Trừ bậc 1",0.1,0)),0))</f>
        <v/>
      </c>
      <c r="G35" s="8" t="n"/>
    </row>
    <row r="36">
      <c r="A36" s="8" t="n"/>
      <c r="B36" s="8" t="n"/>
      <c r="C36" s="8" t="n"/>
      <c r="D36" s="8" t="n"/>
      <c r="E36" s="8" t="n"/>
      <c r="F36" s="32">
        <f>IF(OR(B36="",E36="Có"),0,IFERROR(INDEX('3. LƯƠNG VÀ QUỸ'!$F$5:$F$11,MATCH(B36,'3. LƯƠNG VÀ QUỸ'!$A$5:$A$11,0))*IF(C36="Trừ bậc 2",0.25,IF(C36="Trừ bậc 1",0.1,0)),0))</f>
        <v/>
      </c>
      <c r="G36" s="8" t="n"/>
    </row>
    <row r="37">
      <c r="A37" s="8" t="n"/>
      <c r="B37" s="8" t="n"/>
      <c r="C37" s="8" t="n"/>
      <c r="D37" s="8" t="n"/>
      <c r="E37" s="8" t="n"/>
      <c r="F37" s="32">
        <f>IF(OR(B37="",E37="Có"),0,IFERROR(INDEX('3. LƯƠNG VÀ QUỸ'!$F$5:$F$11,MATCH(B37,'3. LƯƠNG VÀ QUỸ'!$A$5:$A$11,0))*IF(C37="Trừ bậc 2",0.25,IF(C37="Trừ bậc 1",0.1,0)),0))</f>
        <v/>
      </c>
      <c r="G37" s="8" t="n"/>
    </row>
    <row r="38">
      <c r="A38" s="8" t="n"/>
      <c r="B38" s="8" t="n"/>
      <c r="C38" s="8" t="n"/>
      <c r="D38" s="8" t="n"/>
      <c r="E38" s="8" t="n"/>
      <c r="F38" s="32">
        <f>IF(OR(B38="",E38="Có"),0,IFERROR(INDEX('3. LƯƠNG VÀ QUỸ'!$F$5:$F$11,MATCH(B38,'3. LƯƠNG VÀ QUỸ'!$A$5:$A$11,0))*IF(C38="Trừ bậc 2",0.25,IF(C38="Trừ bậc 1",0.1,0)),0))</f>
        <v/>
      </c>
      <c r="G38" s="8" t="n"/>
    </row>
    <row r="39">
      <c r="A39" s="8" t="n"/>
      <c r="B39" s="8" t="n"/>
      <c r="C39" s="8" t="n"/>
      <c r="D39" s="8" t="n"/>
      <c r="E39" s="8" t="n"/>
      <c r="F39" s="32">
        <f>IF(OR(B39="",E39="Có"),0,IFERROR(INDEX('3. LƯƠNG VÀ QUỸ'!$F$5:$F$11,MATCH(B39,'3. LƯƠNG VÀ QUỸ'!$A$5:$A$11,0))*IF(C39="Trừ bậc 2",0.25,IF(C39="Trừ bậc 1",0.1,0)),0))</f>
        <v/>
      </c>
      <c r="G39" s="8" t="n"/>
    </row>
    <row r="40">
      <c r="A40" s="8" t="n"/>
      <c r="B40" s="8" t="n"/>
      <c r="C40" s="8" t="n"/>
      <c r="D40" s="8" t="n"/>
      <c r="E40" s="8" t="n"/>
      <c r="F40" s="32">
        <f>IF(OR(B40="",E40="Có"),0,IFERROR(INDEX('3. LƯƠNG VÀ QUỸ'!$F$5:$F$11,MATCH(B40,'3. LƯƠNG VÀ QUỸ'!$A$5:$A$11,0))*IF(C40="Trừ bậc 2",0.25,IF(C40="Trừ bậc 1",0.1,0)),0))</f>
        <v/>
      </c>
      <c r="G40" s="8" t="n"/>
    </row>
    <row r="43">
      <c r="A43" s="22" t="inlineStr">
        <is>
          <t>ĐỊNH NGHĨA MỨC</t>
        </is>
      </c>
    </row>
    <row r="44">
      <c r="A44" s="34" t="inlineStr">
        <is>
          <t>Cảnh báo  —  Việc CHẶN quá hạn dưới 24 giờ, đã báo trước. Không trừ, chỉ ghi nhận.</t>
        </is>
      </c>
    </row>
    <row r="45">
      <c r="A45" s="34" t="inlineStr">
        <is>
          <t>Trừ bậc 1  —  Việc CHẶN quá hạn 24 đến 48 giờ. Trừ 10% quỹ biến động tháng đó.</t>
        </is>
      </c>
    </row>
    <row r="46">
      <c r="A46" s="34" t="inlineStr">
        <is>
          <t>Trừ bậc 2  —  Việc CHẶN quá hạn trên 48 giờ HOẶC làm hỏng một buổi live. Trừ 25% quỹ biến động.</t>
        </is>
      </c>
    </row>
    <row r="47">
      <c r="A47" s="34" t="inlineStr"/>
    </row>
    <row r="48">
      <c r="A48" s="22" t="inlineStr">
        <is>
          <t>ĐIỀU KHOẢN QUAN TRỌNG NHẤT</t>
        </is>
      </c>
    </row>
    <row r="49">
      <c r="A49" s="34" t="inlineStr">
        <is>
          <t>Nếu người đó đã chọn trạng thái 'Đang tắc' trong sheet TIEN_DO và báo trong họp đầu ngày thì KHÔNG BỊ TRỪ.</t>
        </is>
      </c>
    </row>
    <row r="50">
      <c r="A50" s="34" t="inlineStr">
        <is>
          <t>Trách nhiệm chuyển sang người điều phối. Điều khoản này khuyến khích báo sớm thay vì giấu.</t>
        </is>
      </c>
    </row>
  </sheetData>
  <dataValidations count="2">
    <dataValidation sqref="C5 C6 C7 C8 C9 C10 C11 C12 C13 C14 C15 C16 C17 C18 C19 C20 C21 C22 C23 C24 C25 C26 C27 C28 C29 C30 C31 C32 C33 C34 C35 C36 C37 C38 C39 C40" showDropDown="0" showInputMessage="0" showErrorMessage="0" allowBlank="1" type="list">
      <formula1>"Cảnh báo,Trừ bậc 1,Trừ bậc 2"</formula1>
    </dataValidation>
    <dataValidation sqref="E5 E6 E7 E8 E9 E10 E11 E12 E13 E14 E15 E16 E17 E18 E19 E20 E21 E22 E23 E24 E25 E26 E27 E28 E29 E30 E31 E32 E33 E34 E35 E36 E37 E38 E39 E40" showDropDown="0" showInputMessage="0" showErrorMessage="0" allowBlank="1" type="list">
      <formula1>"Có,Không"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2026-07-28T16:52:49Z</dcterms:created>
  <dcterms:modified xmlns:dcterms="http://purl.org/dc/terms/" xmlns:xsi="http://www.w3.org/2001/XMLSchema-instance" xsi:type="dcterms:W3CDTF">2026-07-28T16:52:49Z</dcterms:modified>
</cp:coreProperties>
</file>